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thu\Desktop\New folder\"/>
    </mc:Choice>
  </mc:AlternateContent>
  <xr:revisionPtr revIDLastSave="0" documentId="13_ncr:1_{C71CEAE0-A8F5-4264-8A29-69C43E751970}" xr6:coauthVersionLast="47" xr6:coauthVersionMax="47" xr10:uidLastSave="{00000000-0000-0000-0000-000000000000}"/>
  <bookViews>
    <workbookView xWindow="-108" yWindow="-108" windowWidth="23256" windowHeight="12456" firstSheet="4" activeTab="9" xr2:uid="{6C6FE7E5-2985-468A-B292-B46E0102A3C9}"/>
  </bookViews>
  <sheets>
    <sheet name="Model Assumptions" sheetId="1" r:id="rId1"/>
    <sheet name="Saving Forecast " sheetId="2" r:id="rId2"/>
    <sheet name="Fixed Asset Roll-Forward" sheetId="3" r:id="rId3"/>
    <sheet name="Working capital" sheetId="4" r:id="rId4"/>
    <sheet name="Financing " sheetId="5" r:id="rId5"/>
    <sheet name="Profit and loss Statement" sheetId="6" r:id="rId6"/>
    <sheet name="Free Cash Flow Projection" sheetId="7" r:id="rId7"/>
    <sheet name="WACC" sheetId="8" r:id="rId8"/>
    <sheet name="DCF" sheetId="9" r:id="rId9"/>
    <sheet name="Dashboard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3" l="1"/>
  <c r="F19" i="3"/>
  <c r="G19" i="3"/>
  <c r="H19" i="3"/>
  <c r="I19" i="3"/>
  <c r="J19" i="3"/>
  <c r="K19" i="3"/>
  <c r="L19" i="3"/>
  <c r="M19" i="3"/>
  <c r="B5" i="12"/>
  <c r="B4" i="12"/>
  <c r="B6" i="9"/>
  <c r="B6" i="12" s="1"/>
  <c r="B4" i="9"/>
  <c r="N13" i="7"/>
  <c r="M38" i="8"/>
  <c r="M32" i="8"/>
  <c r="M34" i="8" s="1"/>
  <c r="D31" i="8"/>
  <c r="E31" i="8"/>
  <c r="F31" i="8"/>
  <c r="G31" i="8"/>
  <c r="H31" i="8"/>
  <c r="I31" i="8"/>
  <c r="J31" i="8"/>
  <c r="K31" i="8"/>
  <c r="L31" i="8"/>
  <c r="M31" i="8"/>
  <c r="C31" i="8"/>
  <c r="M30" i="8"/>
  <c r="B26" i="8"/>
  <c r="B25" i="8"/>
  <c r="M21" i="8"/>
  <c r="M20" i="8"/>
  <c r="M19" i="8"/>
  <c r="M16" i="8"/>
  <c r="D14" i="8"/>
  <c r="E14" i="8"/>
  <c r="F14" i="8"/>
  <c r="G14" i="8"/>
  <c r="H14" i="8"/>
  <c r="I14" i="8"/>
  <c r="J14" i="8"/>
  <c r="K14" i="8"/>
  <c r="L14" i="8"/>
  <c r="M14" i="8"/>
  <c r="C14" i="8"/>
  <c r="D10" i="7"/>
  <c r="E10" i="7"/>
  <c r="F10" i="7"/>
  <c r="G10" i="7"/>
  <c r="H10" i="7"/>
  <c r="I10" i="7"/>
  <c r="J10" i="7"/>
  <c r="K10" i="7"/>
  <c r="L10" i="7"/>
  <c r="C10" i="7"/>
  <c r="D9" i="7"/>
  <c r="E9" i="7"/>
  <c r="F9" i="7"/>
  <c r="G9" i="7"/>
  <c r="H9" i="7"/>
  <c r="I9" i="7"/>
  <c r="J9" i="7"/>
  <c r="K9" i="7"/>
  <c r="L9" i="7"/>
  <c r="C9" i="7"/>
  <c r="C24" i="5"/>
  <c r="D6" i="6"/>
  <c r="E6" i="6"/>
  <c r="F6" i="6"/>
  <c r="G6" i="6"/>
  <c r="H6" i="6"/>
  <c r="I6" i="6"/>
  <c r="J6" i="6"/>
  <c r="K6" i="6"/>
  <c r="L6" i="6"/>
  <c r="C6" i="6"/>
  <c r="C22" i="5"/>
  <c r="D19" i="5"/>
  <c r="E19" i="5"/>
  <c r="F19" i="5"/>
  <c r="G19" i="5"/>
  <c r="H19" i="5"/>
  <c r="I19" i="5"/>
  <c r="J19" i="5"/>
  <c r="K19" i="5"/>
  <c r="L19" i="5"/>
  <c r="M19" i="5"/>
  <c r="C19" i="5"/>
  <c r="E12" i="5"/>
  <c r="D15" i="5"/>
  <c r="E15" i="5"/>
  <c r="F12" i="5" s="1"/>
  <c r="F15" i="5" s="1"/>
  <c r="G12" i="5" s="1"/>
  <c r="G15" i="5" s="1"/>
  <c r="H12" i="5" s="1"/>
  <c r="H15" i="5" s="1"/>
  <c r="I12" i="5" s="1"/>
  <c r="I15" i="5" s="1"/>
  <c r="J12" i="5" s="1"/>
  <c r="J15" i="5" s="1"/>
  <c r="K12" i="5" s="1"/>
  <c r="K15" i="5" s="1"/>
  <c r="L12" i="5" s="1"/>
  <c r="L15" i="5" s="1"/>
  <c r="M12" i="5" s="1"/>
  <c r="M15" i="5" s="1"/>
  <c r="D12" i="5"/>
  <c r="C15" i="5"/>
  <c r="C12" i="5"/>
  <c r="E13" i="5"/>
  <c r="F13" i="5"/>
  <c r="G13" i="5"/>
  <c r="H13" i="5"/>
  <c r="I13" i="5"/>
  <c r="J13" i="5"/>
  <c r="K13" i="5"/>
  <c r="L13" i="5"/>
  <c r="M13" i="5"/>
  <c r="D13" i="5"/>
  <c r="C13" i="5"/>
  <c r="B6" i="4"/>
  <c r="B5" i="4"/>
  <c r="B4" i="4"/>
  <c r="B12" i="4"/>
  <c r="B11" i="4"/>
  <c r="B10" i="4"/>
  <c r="B25" i="1"/>
  <c r="B5" i="3"/>
  <c r="B6" i="3"/>
  <c r="B4" i="3"/>
  <c r="E14" i="3" s="1"/>
  <c r="I21" i="3" s="1"/>
  <c r="C26" i="2"/>
  <c r="C25" i="2"/>
  <c r="D10" i="2"/>
  <c r="E10" i="2"/>
  <c r="F10" i="2"/>
  <c r="G10" i="2"/>
  <c r="H10" i="2"/>
  <c r="I10" i="2"/>
  <c r="J10" i="2"/>
  <c r="K10" i="2"/>
  <c r="L10" i="2"/>
  <c r="C10" i="2"/>
  <c r="D9" i="2"/>
  <c r="E9" i="2"/>
  <c r="F9" i="2"/>
  <c r="G9" i="2"/>
  <c r="H9" i="2"/>
  <c r="I9" i="2"/>
  <c r="J9" i="2"/>
  <c r="K9" i="2"/>
  <c r="L9" i="2"/>
  <c r="C9" i="2"/>
  <c r="D8" i="2"/>
  <c r="E8" i="2"/>
  <c r="F8" i="2"/>
  <c r="F11" i="2" s="1"/>
  <c r="G21" i="5" s="1"/>
  <c r="G22" i="5" s="1"/>
  <c r="G24" i="5" s="1"/>
  <c r="G8" i="2"/>
  <c r="H8" i="2"/>
  <c r="I8" i="2"/>
  <c r="I11" i="2" s="1"/>
  <c r="J21" i="5" s="1"/>
  <c r="J22" i="5" s="1"/>
  <c r="J24" i="5" s="1"/>
  <c r="J8" i="2"/>
  <c r="K8" i="2"/>
  <c r="K11" i="2" s="1"/>
  <c r="L21" i="5" s="1"/>
  <c r="L22" i="5" s="1"/>
  <c r="L24" i="5" s="1"/>
  <c r="L8" i="2"/>
  <c r="C8" i="2"/>
  <c r="C11" i="2" s="1"/>
  <c r="D21" i="5" s="1"/>
  <c r="D22" i="5" s="1"/>
  <c r="D24" i="5" s="1"/>
  <c r="B21" i="2"/>
  <c r="B20" i="2"/>
  <c r="D11" i="2"/>
  <c r="E21" i="5" s="1"/>
  <c r="E22" i="5" s="1"/>
  <c r="E24" i="5" s="1"/>
  <c r="E11" i="2"/>
  <c r="F21" i="5" s="1"/>
  <c r="F22" i="5" s="1"/>
  <c r="F24" i="5" s="1"/>
  <c r="G11" i="2"/>
  <c r="H21" i="5" s="1"/>
  <c r="H22" i="5" s="1"/>
  <c r="H24" i="5" s="1"/>
  <c r="H11" i="2"/>
  <c r="I21" i="5" s="1"/>
  <c r="I22" i="5" s="1"/>
  <c r="I24" i="5" s="1"/>
  <c r="J11" i="2"/>
  <c r="K21" i="5" s="1"/>
  <c r="K22" i="5" s="1"/>
  <c r="K24" i="5" s="1"/>
  <c r="L11" i="2"/>
  <c r="M21" i="5" s="1"/>
  <c r="M22" i="5" s="1"/>
  <c r="M24" i="5" s="1"/>
  <c r="B13" i="4" l="1"/>
  <c r="D19" i="4" s="1"/>
  <c r="H7" i="6"/>
  <c r="H11" i="7"/>
  <c r="D18" i="4"/>
  <c r="J7" i="6"/>
  <c r="J11" i="7"/>
  <c r="G7" i="6"/>
  <c r="G11" i="7"/>
  <c r="E7" i="6"/>
  <c r="E11" i="7"/>
  <c r="L7" i="6"/>
  <c r="L11" i="7"/>
  <c r="F11" i="7"/>
  <c r="F7" i="6"/>
  <c r="C7" i="6"/>
  <c r="C11" i="7"/>
  <c r="K7" i="6"/>
  <c r="K11" i="7"/>
  <c r="D7" i="6"/>
  <c r="D11" i="7"/>
  <c r="I7" i="6"/>
  <c r="I11" i="7"/>
  <c r="D7" i="7"/>
  <c r="D26" i="2"/>
  <c r="E26" i="2" s="1"/>
  <c r="F26" i="2" s="1"/>
  <c r="G26" i="2" s="1"/>
  <c r="H26" i="2" s="1"/>
  <c r="I26" i="2" s="1"/>
  <c r="J26" i="2" s="1"/>
  <c r="K26" i="2" s="1"/>
  <c r="L26" i="2" s="1"/>
  <c r="C26" i="9"/>
  <c r="H24" i="9" s="1"/>
  <c r="B7" i="4"/>
  <c r="D25" i="2"/>
  <c r="D27" i="2" s="1"/>
  <c r="E18" i="4" s="1"/>
  <c r="E20" i="4" s="1"/>
  <c r="E25" i="2"/>
  <c r="H21" i="3"/>
  <c r="G21" i="3"/>
  <c r="F21" i="3"/>
  <c r="C27" i="2"/>
  <c r="M21" i="3"/>
  <c r="L21" i="3"/>
  <c r="K21" i="3"/>
  <c r="J21" i="3"/>
  <c r="D13" i="3"/>
  <c r="B3" i="5" s="1"/>
  <c r="B3" i="12" s="1"/>
  <c r="D14" i="3"/>
  <c r="C7" i="7" s="1"/>
  <c r="M14" i="3"/>
  <c r="L7" i="7" s="1"/>
  <c r="L14" i="3"/>
  <c r="K7" i="7" s="1"/>
  <c r="K14" i="3"/>
  <c r="J7" i="7" s="1"/>
  <c r="J14" i="3"/>
  <c r="I7" i="7" s="1"/>
  <c r="I14" i="3"/>
  <c r="H7" i="7" s="1"/>
  <c r="H14" i="3"/>
  <c r="G7" i="7" s="1"/>
  <c r="G14" i="3"/>
  <c r="F7" i="7" s="1"/>
  <c r="F14" i="3"/>
  <c r="E7" i="7" s="1"/>
  <c r="D20" i="4" l="1"/>
  <c r="D21" i="4" s="1"/>
  <c r="C6" i="7" s="1"/>
  <c r="C32" i="2"/>
  <c r="C33" i="2"/>
  <c r="C31" i="2"/>
  <c r="C34" i="2" s="1"/>
  <c r="M26" i="3"/>
  <c r="I23" i="3"/>
  <c r="J25" i="3"/>
  <c r="K22" i="3"/>
  <c r="K25" i="3"/>
  <c r="J23" i="3"/>
  <c r="I24" i="3"/>
  <c r="L22" i="3"/>
  <c r="L25" i="3"/>
  <c r="K23" i="3"/>
  <c r="H23" i="3"/>
  <c r="M22" i="3"/>
  <c r="M25" i="3"/>
  <c r="L23" i="3"/>
  <c r="G22" i="3"/>
  <c r="J24" i="3"/>
  <c r="M23" i="3"/>
  <c r="K24" i="3"/>
  <c r="M28" i="3"/>
  <c r="H22" i="3"/>
  <c r="M27" i="3"/>
  <c r="L24" i="3"/>
  <c r="L27" i="3"/>
  <c r="I22" i="3"/>
  <c r="L26" i="3"/>
  <c r="M24" i="3"/>
  <c r="K26" i="3"/>
  <c r="J22" i="3"/>
  <c r="H20" i="3"/>
  <c r="I20" i="3"/>
  <c r="J20" i="3"/>
  <c r="K20" i="3"/>
  <c r="L20" i="3"/>
  <c r="M20" i="3"/>
  <c r="F20" i="3"/>
  <c r="F29" i="3" s="1"/>
  <c r="F15" i="3" s="1"/>
  <c r="E4" i="6" s="1"/>
  <c r="E20" i="3"/>
  <c r="E29" i="3" s="1"/>
  <c r="E15" i="3" s="1"/>
  <c r="D4" i="6" s="1"/>
  <c r="G20" i="3"/>
  <c r="D19" i="3"/>
  <c r="D29" i="3" s="1"/>
  <c r="D15" i="3" s="1"/>
  <c r="D33" i="2"/>
  <c r="D31" i="2"/>
  <c r="D32" i="2"/>
  <c r="F25" i="2"/>
  <c r="E27" i="2"/>
  <c r="F18" i="4" s="1"/>
  <c r="F20" i="4" s="1"/>
  <c r="F21" i="4" s="1"/>
  <c r="E6" i="7" s="1"/>
  <c r="D16" i="3" l="1"/>
  <c r="E13" i="3" s="1"/>
  <c r="C4" i="6"/>
  <c r="D34" i="2"/>
  <c r="C4" i="7"/>
  <c r="C3" i="6"/>
  <c r="C5" i="6" s="1"/>
  <c r="C8" i="6" s="1"/>
  <c r="G29" i="3"/>
  <c r="G15" i="3" s="1"/>
  <c r="F4" i="6" s="1"/>
  <c r="H29" i="3"/>
  <c r="H15" i="3" s="1"/>
  <c r="G4" i="6" s="1"/>
  <c r="E21" i="4"/>
  <c r="D6" i="7" s="1"/>
  <c r="E16" i="3"/>
  <c r="F13" i="3" s="1"/>
  <c r="F16" i="3" s="1"/>
  <c r="G13" i="3" s="1"/>
  <c r="E32" i="2"/>
  <c r="E33" i="2"/>
  <c r="E31" i="2"/>
  <c r="G25" i="2"/>
  <c r="F27" i="2"/>
  <c r="G18" i="4" s="1"/>
  <c r="G20" i="4" s="1"/>
  <c r="G21" i="4" s="1"/>
  <c r="F6" i="7" s="1"/>
  <c r="M29" i="3"/>
  <c r="M15" i="3" s="1"/>
  <c r="L4" i="6" s="1"/>
  <c r="L29" i="3"/>
  <c r="L15" i="3" s="1"/>
  <c r="K4" i="6" s="1"/>
  <c r="K29" i="3"/>
  <c r="K15" i="3" s="1"/>
  <c r="J4" i="6" s="1"/>
  <c r="J29" i="3"/>
  <c r="J15" i="3" s="1"/>
  <c r="I4" i="6" s="1"/>
  <c r="I29" i="3"/>
  <c r="I15" i="3" s="1"/>
  <c r="H4" i="6" s="1"/>
  <c r="G16" i="3" l="1"/>
  <c r="H13" i="3" s="1"/>
  <c r="H16" i="3" s="1"/>
  <c r="I13" i="3" s="1"/>
  <c r="I16" i="3" s="1"/>
  <c r="J13" i="3" s="1"/>
  <c r="J16" i="3" s="1"/>
  <c r="K13" i="3" s="1"/>
  <c r="K16" i="3" s="1"/>
  <c r="L13" i="3" s="1"/>
  <c r="L16" i="3" s="1"/>
  <c r="M13" i="3" s="1"/>
  <c r="M16" i="3" s="1"/>
  <c r="D3" i="6"/>
  <c r="D5" i="6" s="1"/>
  <c r="D8" i="6" s="1"/>
  <c r="D4" i="7"/>
  <c r="C9" i="6"/>
  <c r="C5" i="7" s="1"/>
  <c r="C8" i="7" s="1"/>
  <c r="C13" i="7" s="1"/>
  <c r="E34" i="2"/>
  <c r="F32" i="2"/>
  <c r="F33" i="2"/>
  <c r="F31" i="2"/>
  <c r="H25" i="2"/>
  <c r="G27" i="2"/>
  <c r="H18" i="4" s="1"/>
  <c r="H20" i="4" s="1"/>
  <c r="H21" i="4" s="1"/>
  <c r="G6" i="7" s="1"/>
  <c r="D27" i="5" l="1"/>
  <c r="D28" i="5" s="1"/>
  <c r="D10" i="9"/>
  <c r="D11" i="9" s="1"/>
  <c r="C10" i="6"/>
  <c r="E4" i="7"/>
  <c r="E3" i="6"/>
  <c r="E5" i="6" s="1"/>
  <c r="E8" i="6" s="1"/>
  <c r="D9" i="6"/>
  <c r="D5" i="7" s="1"/>
  <c r="D8" i="7" s="1"/>
  <c r="D13" i="7" s="1"/>
  <c r="F34" i="2"/>
  <c r="I25" i="2"/>
  <c r="H27" i="2"/>
  <c r="I18" i="4" s="1"/>
  <c r="I20" i="4" s="1"/>
  <c r="I21" i="4" s="1"/>
  <c r="H6" i="7" s="1"/>
  <c r="G31" i="2"/>
  <c r="G32" i="2"/>
  <c r="G33" i="2"/>
  <c r="E10" i="9" l="1"/>
  <c r="E11" i="9" s="1"/>
  <c r="E27" i="5"/>
  <c r="E28" i="5" s="1"/>
  <c r="D15" i="8" s="1"/>
  <c r="D10" i="6"/>
  <c r="G34" i="2"/>
  <c r="E9" i="6"/>
  <c r="E5" i="7" s="1"/>
  <c r="E8" i="7" s="1"/>
  <c r="E13" i="7" s="1"/>
  <c r="F4" i="7"/>
  <c r="F3" i="6"/>
  <c r="F5" i="6" s="1"/>
  <c r="F8" i="6" s="1"/>
  <c r="C10" i="9"/>
  <c r="C15" i="8"/>
  <c r="H32" i="2"/>
  <c r="H33" i="2"/>
  <c r="H31" i="2"/>
  <c r="H34" i="2" s="1"/>
  <c r="J25" i="2"/>
  <c r="I27" i="2"/>
  <c r="J18" i="4" s="1"/>
  <c r="J20" i="4" s="1"/>
  <c r="J21" i="4" s="1"/>
  <c r="I6" i="7" s="1"/>
  <c r="E10" i="6" l="1"/>
  <c r="F27" i="5"/>
  <c r="F28" i="5" s="1"/>
  <c r="E15" i="8" s="1"/>
  <c r="F10" i="9"/>
  <c r="F11" i="9" s="1"/>
  <c r="G4" i="7"/>
  <c r="G3" i="6"/>
  <c r="G5" i="6" s="1"/>
  <c r="G8" i="6" s="1"/>
  <c r="C16" i="8"/>
  <c r="C19" i="8" s="1"/>
  <c r="C20" i="8"/>
  <c r="H4" i="7"/>
  <c r="H3" i="6"/>
  <c r="H5" i="6" s="1"/>
  <c r="H8" i="6" s="1"/>
  <c r="C11" i="9"/>
  <c r="C13" i="9"/>
  <c r="C16" i="9" s="1"/>
  <c r="D16" i="8"/>
  <c r="D19" i="8" s="1"/>
  <c r="F9" i="6"/>
  <c r="F5" i="7" s="1"/>
  <c r="F8" i="7" s="1"/>
  <c r="F13" i="7" s="1"/>
  <c r="K25" i="2"/>
  <c r="J27" i="2"/>
  <c r="K18" i="4" s="1"/>
  <c r="K20" i="4" s="1"/>
  <c r="K21" i="4" s="1"/>
  <c r="J6" i="7" s="1"/>
  <c r="I32" i="2"/>
  <c r="I33" i="2"/>
  <c r="I31" i="2"/>
  <c r="I34" i="2" s="1"/>
  <c r="F10" i="6" l="1"/>
  <c r="D20" i="8"/>
  <c r="D30" i="8" s="1"/>
  <c r="D32" i="8" s="1"/>
  <c r="D34" i="8" s="1"/>
  <c r="E12" i="9" s="1"/>
  <c r="E13" i="9" s="1"/>
  <c r="E16" i="9" s="1"/>
  <c r="I4" i="7"/>
  <c r="I3" i="6"/>
  <c r="I5" i="6" s="1"/>
  <c r="I8" i="6" s="1"/>
  <c r="G27" i="5"/>
  <c r="G28" i="5" s="1"/>
  <c r="F15" i="8" s="1"/>
  <c r="G10" i="9"/>
  <c r="G11" i="9" s="1"/>
  <c r="C21" i="8"/>
  <c r="C30" i="8"/>
  <c r="C32" i="8" s="1"/>
  <c r="C34" i="8" s="1"/>
  <c r="C38" i="8"/>
  <c r="D21" i="8"/>
  <c r="G9" i="6"/>
  <c r="G5" i="7" s="1"/>
  <c r="G8" i="7" s="1"/>
  <c r="G13" i="7" s="1"/>
  <c r="H9" i="6"/>
  <c r="H5" i="7" s="1"/>
  <c r="H8" i="7" s="1"/>
  <c r="H13" i="7" s="1"/>
  <c r="E16" i="8"/>
  <c r="E19" i="8" s="1"/>
  <c r="J32" i="2"/>
  <c r="J33" i="2"/>
  <c r="J31" i="2"/>
  <c r="J34" i="2" s="1"/>
  <c r="L25" i="2"/>
  <c r="L27" i="2" s="1"/>
  <c r="M18" i="4" s="1"/>
  <c r="M20" i="4" s="1"/>
  <c r="K27" i="2"/>
  <c r="L18" i="4" s="1"/>
  <c r="L20" i="4" s="1"/>
  <c r="L21" i="4" s="1"/>
  <c r="K6" i="7" s="1"/>
  <c r="E20" i="8" l="1"/>
  <c r="E21" i="8" s="1"/>
  <c r="H10" i="6"/>
  <c r="G10" i="6"/>
  <c r="D38" i="8"/>
  <c r="D12" i="9"/>
  <c r="D13" i="9" s="1"/>
  <c r="D16" i="9" s="1"/>
  <c r="B7" i="12"/>
  <c r="I27" i="5"/>
  <c r="I10" i="9"/>
  <c r="I11" i="9" s="1"/>
  <c r="M21" i="4"/>
  <c r="L6" i="7" s="1"/>
  <c r="J4" i="7"/>
  <c r="J3" i="6"/>
  <c r="J5" i="6" s="1"/>
  <c r="J8" i="6" s="1"/>
  <c r="F16" i="8"/>
  <c r="F19" i="8" s="1"/>
  <c r="I9" i="6"/>
  <c r="I5" i="7" s="1"/>
  <c r="I8" i="7" s="1"/>
  <c r="I13" i="7" s="1"/>
  <c r="H27" i="5"/>
  <c r="H28" i="5" s="1"/>
  <c r="G15" i="8" s="1"/>
  <c r="H10" i="9"/>
  <c r="H11" i="9" s="1"/>
  <c r="L33" i="2"/>
  <c r="L31" i="2"/>
  <c r="L34" i="2" s="1"/>
  <c r="L32" i="2"/>
  <c r="K32" i="2"/>
  <c r="K33" i="2"/>
  <c r="K31" i="2"/>
  <c r="K34" i="2" s="1"/>
  <c r="E30" i="8" l="1"/>
  <c r="E32" i="8" s="1"/>
  <c r="E34" i="8" s="1"/>
  <c r="F12" i="9" s="1"/>
  <c r="F13" i="9" s="1"/>
  <c r="F16" i="9" s="1"/>
  <c r="I10" i="6"/>
  <c r="F20" i="8"/>
  <c r="J9" i="6"/>
  <c r="J5" i="7" s="1"/>
  <c r="J8" i="7" s="1"/>
  <c r="J13" i="7" s="1"/>
  <c r="J27" i="5"/>
  <c r="J10" i="9"/>
  <c r="J11" i="9" s="1"/>
  <c r="G16" i="8"/>
  <c r="G19" i="8" s="1"/>
  <c r="L3" i="6"/>
  <c r="L5" i="6" s="1"/>
  <c r="L8" i="6" s="1"/>
  <c r="L4" i="7"/>
  <c r="K3" i="6"/>
  <c r="K5" i="6" s="1"/>
  <c r="K8" i="6" s="1"/>
  <c r="K4" i="7"/>
  <c r="I28" i="5"/>
  <c r="H15" i="8" s="1"/>
  <c r="E38" i="8" l="1"/>
  <c r="G20" i="8"/>
  <c r="G30" i="8" s="1"/>
  <c r="G32" i="8" s="1"/>
  <c r="G34" i="8" s="1"/>
  <c r="H12" i="9" s="1"/>
  <c r="H13" i="9" s="1"/>
  <c r="H16" i="9" s="1"/>
  <c r="F21" i="8"/>
  <c r="F30" i="8"/>
  <c r="F32" i="8" s="1"/>
  <c r="F34" i="8" s="1"/>
  <c r="G12" i="9" s="1"/>
  <c r="G13" i="9" s="1"/>
  <c r="G16" i="9" s="1"/>
  <c r="K27" i="5"/>
  <c r="K10" i="9"/>
  <c r="K11" i="9" s="1"/>
  <c r="H16" i="8"/>
  <c r="H19" i="8" s="1"/>
  <c r="K9" i="6"/>
  <c r="K5" i="7" s="1"/>
  <c r="K8" i="7" s="1"/>
  <c r="K13" i="7" s="1"/>
  <c r="L9" i="6"/>
  <c r="L5" i="7" s="1"/>
  <c r="L8" i="7" s="1"/>
  <c r="L13" i="7" s="1"/>
  <c r="J10" i="6"/>
  <c r="J28" i="5"/>
  <c r="I15" i="8" s="1"/>
  <c r="K10" i="6" l="1"/>
  <c r="G21" i="8"/>
  <c r="F38" i="8"/>
  <c r="G38" i="8"/>
  <c r="L10" i="6"/>
  <c r="H20" i="8"/>
  <c r="H21" i="8" s="1"/>
  <c r="M10" i="9"/>
  <c r="M11" i="9" s="1"/>
  <c r="C21" i="9" s="1"/>
  <c r="B13" i="12" s="1"/>
  <c r="M27" i="5"/>
  <c r="L10" i="9"/>
  <c r="L11" i="9" s="1"/>
  <c r="L27" i="5"/>
  <c r="I16" i="8"/>
  <c r="I19" i="8" s="1"/>
  <c r="K28" i="5"/>
  <c r="J15" i="8" s="1"/>
  <c r="L28" i="5" l="1"/>
  <c r="K15" i="8" s="1"/>
  <c r="K16" i="8" s="1"/>
  <c r="K19" i="8" s="1"/>
  <c r="H30" i="8"/>
  <c r="H32" i="8" s="1"/>
  <c r="H34" i="8" s="1"/>
  <c r="I12" i="9" s="1"/>
  <c r="I13" i="9" s="1"/>
  <c r="I16" i="9" s="1"/>
  <c r="J16" i="8"/>
  <c r="J19" i="8" s="1"/>
  <c r="D25" i="9"/>
  <c r="I23" i="9"/>
  <c r="I20" i="8"/>
  <c r="M28" i="5" l="1"/>
  <c r="L15" i="8" s="1"/>
  <c r="L16" i="8" s="1"/>
  <c r="L19" i="8" s="1"/>
  <c r="K20" i="8"/>
  <c r="H38" i="8"/>
  <c r="J20" i="8"/>
  <c r="J30" i="8" s="1"/>
  <c r="J32" i="8" s="1"/>
  <c r="J34" i="8" s="1"/>
  <c r="K12" i="9" s="1"/>
  <c r="K13" i="9" s="1"/>
  <c r="K16" i="9" s="1"/>
  <c r="I21" i="8"/>
  <c r="I30" i="8"/>
  <c r="I32" i="8" s="1"/>
  <c r="I34" i="8" s="1"/>
  <c r="J12" i="9" s="1"/>
  <c r="J13" i="9" s="1"/>
  <c r="J16" i="9" s="1"/>
  <c r="L20" i="8" l="1"/>
  <c r="L30" i="8" s="1"/>
  <c r="L32" i="8" s="1"/>
  <c r="L34" i="8" s="1"/>
  <c r="M12" i="9" s="1"/>
  <c r="K21" i="8"/>
  <c r="K30" i="8"/>
  <c r="K32" i="8" s="1"/>
  <c r="K34" i="8" s="1"/>
  <c r="J21" i="8"/>
  <c r="J38" i="8"/>
  <c r="I38" i="8"/>
  <c r="L21" i="8" l="1"/>
  <c r="L12" i="9"/>
  <c r="L13" i="9" s="1"/>
  <c r="L16" i="9" s="1"/>
  <c r="K38" i="8"/>
  <c r="L38" i="8"/>
  <c r="M13" i="9"/>
  <c r="M14" i="9"/>
  <c r="M16" i="9" l="1"/>
  <c r="C19" i="9" s="1"/>
  <c r="B12" i="12" s="1"/>
</calcChain>
</file>

<file path=xl/sharedStrings.xml><?xml version="1.0" encoding="utf-8"?>
<sst xmlns="http://schemas.openxmlformats.org/spreadsheetml/2006/main" count="212" uniqueCount="172">
  <si>
    <t>Selected case</t>
  </si>
  <si>
    <t xml:space="preserve">Inflation </t>
  </si>
  <si>
    <t>Expected long term inflation India</t>
  </si>
  <si>
    <t>Expected long term inflation Vietnam</t>
  </si>
  <si>
    <t xml:space="preserve">PRICE OF PRODUCTION </t>
  </si>
  <si>
    <t>Price of production in India</t>
  </si>
  <si>
    <t xml:space="preserve">Price of production in Vietnam </t>
  </si>
  <si>
    <t xml:space="preserve">Estimated initial investment </t>
  </si>
  <si>
    <t>Best case</t>
  </si>
  <si>
    <t>Base case</t>
  </si>
  <si>
    <t>Worst case</t>
  </si>
  <si>
    <t xml:space="preserve">Useful life of years </t>
  </si>
  <si>
    <t>Vietnam is a faster-growing emerging market → slightly higher inflation</t>
  </si>
  <si>
    <t>Lower labor + cost in Vietnam → cheaper production</t>
  </si>
  <si>
    <t>Working Capital</t>
  </si>
  <si>
    <t>DIO (Inventory days)</t>
  </si>
  <si>
    <t>DPO (Payable days)</t>
  </si>
  <si>
    <t xml:space="preserve">net wc cycle </t>
  </si>
  <si>
    <t>Senior Debt (Loan)</t>
  </si>
  <si>
    <t xml:space="preserve"> FINANCING FACILITIES</t>
  </si>
  <si>
    <r>
      <t>Tenure</t>
    </r>
    <r>
      <rPr>
        <sz val="11"/>
        <color theme="1"/>
        <rFont val="Calibri"/>
        <family val="2"/>
        <scheme val="minor"/>
      </rPr>
      <t xml:space="preserve"> </t>
    </r>
  </si>
  <si>
    <r>
      <t>Interest rate</t>
    </r>
    <r>
      <rPr>
        <sz val="11"/>
        <color theme="1"/>
        <rFont val="Calibri"/>
        <family val="2"/>
        <scheme val="minor"/>
      </rPr>
      <t xml:space="preserve"> </t>
    </r>
  </si>
  <si>
    <r>
      <t>Loan amount</t>
    </r>
    <r>
      <rPr>
        <sz val="11"/>
        <color theme="1"/>
        <rFont val="Calibri"/>
        <family val="2"/>
        <scheme val="minor"/>
      </rPr>
      <t xml:space="preserve"> </t>
    </r>
  </si>
  <si>
    <t xml:space="preserve">Loan schedule </t>
  </si>
  <si>
    <t>Minimum production/sales:</t>
  </si>
  <si>
    <t>If not:</t>
  </si>
  <si>
    <t>👉 Must sell at least 1,00,000 units per year</t>
  </si>
  <si>
    <t>👉 Penalty = €1,000,000 per year</t>
  </si>
  <si>
    <t xml:space="preserve">Tax rate </t>
  </si>
  <si>
    <t>Residual value of the project</t>
  </si>
  <si>
    <t>Repayement %</t>
  </si>
  <si>
    <t>currency in euros</t>
  </si>
  <si>
    <t xml:space="preserve">Saving Forecast </t>
  </si>
  <si>
    <t xml:space="preserve">Base case </t>
  </si>
  <si>
    <t xml:space="preserve">Worst case </t>
  </si>
  <si>
    <t xml:space="preserve">Volume in units </t>
  </si>
  <si>
    <t xml:space="preserve">Selected case </t>
  </si>
  <si>
    <t>Productivity as %</t>
  </si>
  <si>
    <t xml:space="preserve">Expected long term inflation in India </t>
  </si>
  <si>
    <t xml:space="preserve">Expected long term inflation in Vietnam  </t>
  </si>
  <si>
    <t>PRICE OF PRODUCTION(EUR)</t>
  </si>
  <si>
    <t xml:space="preserve">Saving per unit </t>
  </si>
  <si>
    <t xml:space="preserve">Total savings </t>
  </si>
  <si>
    <t xml:space="preserve">Best case </t>
  </si>
  <si>
    <t xml:space="preserve">useful life </t>
  </si>
  <si>
    <t>Investment plan</t>
  </si>
  <si>
    <t>beginning pp&amp;e</t>
  </si>
  <si>
    <t xml:space="preserve">capex </t>
  </si>
  <si>
    <t>D&amp;A</t>
  </si>
  <si>
    <t xml:space="preserve">D&amp;A SCHEDULE </t>
  </si>
  <si>
    <t xml:space="preserve">Ending pp&amp;e </t>
  </si>
  <si>
    <t xml:space="preserve">dep year 1 </t>
  </si>
  <si>
    <t>dep year 2</t>
  </si>
  <si>
    <t>dep year 3</t>
  </si>
  <si>
    <t>dep year 4</t>
  </si>
  <si>
    <t>dep year 5</t>
  </si>
  <si>
    <t>dep year 6</t>
  </si>
  <si>
    <t>dep year 7</t>
  </si>
  <si>
    <t>dep year 8</t>
  </si>
  <si>
    <t>dep year 9</t>
  </si>
  <si>
    <t>dep year 10</t>
  </si>
  <si>
    <t>total dep</t>
  </si>
  <si>
    <t>WORKING CAPITAL</t>
  </si>
  <si>
    <t xml:space="preserve">WC india </t>
  </si>
  <si>
    <t>DIO</t>
  </si>
  <si>
    <t>DSO</t>
  </si>
  <si>
    <t>DPO</t>
  </si>
  <si>
    <t xml:space="preserve">Net wc cycle </t>
  </si>
  <si>
    <t xml:space="preserve">WC vietnam </t>
  </si>
  <si>
    <t>In euro</t>
  </si>
  <si>
    <t xml:space="preserve">Extra production value </t>
  </si>
  <si>
    <t xml:space="preserve">delta net trading cycle </t>
  </si>
  <si>
    <t>working capital</t>
  </si>
  <si>
    <t xml:space="preserve">Delta working capital </t>
  </si>
  <si>
    <t>best case</t>
  </si>
  <si>
    <t>base case</t>
  </si>
  <si>
    <t xml:space="preserve">worst case </t>
  </si>
  <si>
    <t>wc cases india - DSO</t>
  </si>
  <si>
    <t>wc cases india- DIO</t>
  </si>
  <si>
    <t>wc cases india- DPO</t>
  </si>
  <si>
    <t xml:space="preserve">FINANCING </t>
  </si>
  <si>
    <t xml:space="preserve">INITIAL INVESTMENT </t>
  </si>
  <si>
    <t xml:space="preserve">FINANCING FACILITY </t>
  </si>
  <si>
    <t>Debt Facility (EUR)</t>
  </si>
  <si>
    <t>Interest rate Debt Facility</t>
  </si>
  <si>
    <t>Repay Debt Facility in</t>
  </si>
  <si>
    <t>in euros</t>
  </si>
  <si>
    <t xml:space="preserve">Beginning debt </t>
  </si>
  <si>
    <t xml:space="preserve">repayement </t>
  </si>
  <si>
    <t>repayement %</t>
  </si>
  <si>
    <t xml:space="preserve">Ending debt </t>
  </si>
  <si>
    <t xml:space="preserve">interest expenses </t>
  </si>
  <si>
    <t xml:space="preserve">VOLUME </t>
  </si>
  <si>
    <t>Volume less than 100000</t>
  </si>
  <si>
    <t>penalty</t>
  </si>
  <si>
    <t xml:space="preserve">EQUITY FINANCING </t>
  </si>
  <si>
    <t>net cash flow</t>
  </si>
  <si>
    <t>Savings (EBITDA)</t>
  </si>
  <si>
    <t>EBIT</t>
  </si>
  <si>
    <t>Interest expenses</t>
  </si>
  <si>
    <t>Covenents</t>
  </si>
  <si>
    <t>EBT</t>
  </si>
  <si>
    <t>Taxes</t>
  </si>
  <si>
    <t>NET INCOME</t>
  </si>
  <si>
    <t xml:space="preserve">in euros </t>
  </si>
  <si>
    <t>Svings (EBITDA)</t>
  </si>
  <si>
    <t>Delta working capital</t>
  </si>
  <si>
    <t xml:space="preserve">Capex </t>
  </si>
  <si>
    <t>Operating cash flow</t>
  </si>
  <si>
    <t xml:space="preserve">Debt repayement </t>
  </si>
  <si>
    <t xml:space="preserve">Interest expenses </t>
  </si>
  <si>
    <t xml:space="preserve">Project cash flow </t>
  </si>
  <si>
    <t xml:space="preserve">Covenent penalty </t>
  </si>
  <si>
    <t>increase in equity</t>
  </si>
  <si>
    <t>WACC</t>
  </si>
  <si>
    <t xml:space="preserve">Cost of debt </t>
  </si>
  <si>
    <t xml:space="preserve">Risk- free in vietnam </t>
  </si>
  <si>
    <t xml:space="preserve">Market premium in vietnam </t>
  </si>
  <si>
    <t>Company Leverage (D/E) Beta</t>
  </si>
  <si>
    <t>Leverage</t>
  </si>
  <si>
    <t xml:space="preserve"> Beta</t>
  </si>
  <si>
    <t>debt financing</t>
  </si>
  <si>
    <t xml:space="preserve">equity financing </t>
  </si>
  <si>
    <t xml:space="preserve">total financing </t>
  </si>
  <si>
    <t>debt financing %</t>
  </si>
  <si>
    <t>equity financing %</t>
  </si>
  <si>
    <t>total financing %</t>
  </si>
  <si>
    <t>Comparable companies:</t>
  </si>
  <si>
    <t>Average leverage</t>
  </si>
  <si>
    <t>Average beta</t>
  </si>
  <si>
    <t>Project beta:</t>
  </si>
  <si>
    <t>Debt / Equity</t>
  </si>
  <si>
    <t>Beta unlevered</t>
  </si>
  <si>
    <t xml:space="preserve">cost of equity </t>
  </si>
  <si>
    <t>wacc</t>
  </si>
  <si>
    <t xml:space="preserve">residual value </t>
  </si>
  <si>
    <t xml:space="preserve">selected case </t>
  </si>
  <si>
    <t>residual value</t>
  </si>
  <si>
    <t xml:space="preserve">net cash flow </t>
  </si>
  <si>
    <t>Discounted Cash Flow</t>
  </si>
  <si>
    <t>Present Value Residual Value</t>
  </si>
  <si>
    <t>Discounted Cash Flow with Residual Value</t>
  </si>
  <si>
    <t>Net Cash Flow + Residual Value</t>
  </si>
  <si>
    <t>Sum of Discounted Cash Flows (NPV)</t>
  </si>
  <si>
    <t>IRR</t>
  </si>
  <si>
    <t xml:space="preserve">senstivity analysis </t>
  </si>
  <si>
    <t>Free Cash Flow Projection</t>
  </si>
  <si>
    <t>Fixed Asset Roll-Forward</t>
  </si>
  <si>
    <t xml:space="preserve">Model Assumptions </t>
  </si>
  <si>
    <t>Covenants</t>
  </si>
  <si>
    <t xml:space="preserve">Discounted cash flow </t>
  </si>
  <si>
    <t>Dashboard</t>
  </si>
  <si>
    <t xml:space="preserve">Initial Investment </t>
  </si>
  <si>
    <t>Debt facility</t>
  </si>
  <si>
    <t>Project Life</t>
  </si>
  <si>
    <t>Residual Value</t>
  </si>
  <si>
    <t>Cost Of Equity</t>
  </si>
  <si>
    <t>NPV</t>
  </si>
  <si>
    <t>INVESTMENT APPRAISAL</t>
  </si>
  <si>
    <t>✔ ACCEPT PROJECT</t>
  </si>
  <si>
    <t>The project generates a significant positive NPV and an</t>
  </si>
  <si>
    <t>IRR that exceeds the required Cost of Equity. Therefore,</t>
  </si>
  <si>
    <t>the investment is expected to create shareholder value</t>
  </si>
  <si>
    <t>and should be accepted.</t>
  </si>
  <si>
    <t>Decision</t>
  </si>
  <si>
    <t>Scenario  Case</t>
  </si>
  <si>
    <t>Base</t>
  </si>
  <si>
    <t xml:space="preserve">Profit and loss statement  </t>
  </si>
  <si>
    <t xml:space="preserve">Currency in euros </t>
  </si>
  <si>
    <t xml:space="preserve">Company A </t>
  </si>
  <si>
    <t xml:space="preserve">Company B </t>
  </si>
  <si>
    <t xml:space="preserve">Company 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</si>
</sst>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0.0%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sz val="8"/>
      <name val="Calibri"/>
      <family val="2"/>
      <scheme val="minor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18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3" fillId="0" borderId="0" xfId="0" applyFont="1"/>
    <xf numFmtId="9" fontId="0" fillId="0" borderId="0" xfId="0" applyNumberFormat="1"/>
    <xf numFmtId="3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2" fontId="0" fillId="0" borderId="0" xfId="0" applyNumberFormat="1"/>
    <xf numFmtId="1" fontId="0" fillId="0" borderId="0" xfId="0" applyNumberFormat="1"/>
    <xf numFmtId="0" fontId="5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0" fillId="0" borderId="1" xfId="0" applyBorder="1"/>
    <xf numFmtId="0" fontId="0" fillId="2" borderId="0" xfId="0" applyFill="1"/>
    <xf numFmtId="0" fontId="7" fillId="0" borderId="1" xfId="0" applyFont="1" applyBorder="1"/>
    <xf numFmtId="1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9" fillId="3" borderId="0" xfId="0" applyFont="1" applyFill="1"/>
    <xf numFmtId="10" fontId="0" fillId="0" borderId="0" xfId="0" applyNumberFormat="1"/>
    <xf numFmtId="0" fontId="5" fillId="0" borderId="1" xfId="0" applyFont="1" applyBorder="1"/>
    <xf numFmtId="164" fontId="10" fillId="3" borderId="4" xfId="0" applyNumberFormat="1" applyFont="1" applyFill="1" applyBorder="1"/>
    <xf numFmtId="165" fontId="0" fillId="0" borderId="0" xfId="0" applyNumberFormat="1"/>
    <xf numFmtId="164" fontId="10" fillId="3" borderId="0" xfId="0" applyNumberFormat="1" applyFont="1" applyFill="1"/>
    <xf numFmtId="164" fontId="10" fillId="3" borderId="1" xfId="0" applyNumberFormat="1" applyFont="1" applyFill="1" applyBorder="1"/>
    <xf numFmtId="164" fontId="9" fillId="3" borderId="0" xfId="0" applyNumberFormat="1" applyFont="1" applyFill="1" applyAlignment="1">
      <alignment horizontal="left"/>
    </xf>
    <xf numFmtId="0" fontId="10" fillId="3" borderId="0" xfId="0" applyFont="1" applyFill="1"/>
    <xf numFmtId="0" fontId="5" fillId="4" borderId="0" xfId="0" applyFont="1" applyFill="1"/>
    <xf numFmtId="0" fontId="11" fillId="0" borderId="0" xfId="0" applyFont="1"/>
    <xf numFmtId="0" fontId="12" fillId="0" borderId="0" xfId="0" applyFont="1"/>
    <xf numFmtId="0" fontId="14" fillId="0" borderId="0" xfId="0" applyFont="1"/>
    <xf numFmtId="0" fontId="0" fillId="0" borderId="4" xfId="0" applyBorder="1"/>
    <xf numFmtId="0" fontId="13" fillId="0" borderId="4" xfId="0" applyFont="1" applyBorder="1"/>
    <xf numFmtId="0" fontId="15" fillId="0" borderId="0" xfId="0" applyFont="1"/>
    <xf numFmtId="0" fontId="0" fillId="0" borderId="5" xfId="0" applyBorder="1"/>
    <xf numFmtId="1" fontId="0" fillId="0" borderId="5" xfId="0" applyNumberFormat="1" applyBorder="1"/>
    <xf numFmtId="3" fontId="0" fillId="0" borderId="5" xfId="0" applyNumberFormat="1" applyBorder="1"/>
    <xf numFmtId="10" fontId="0" fillId="0" borderId="5" xfId="0" applyNumberFormat="1" applyBorder="1"/>
    <xf numFmtId="0" fontId="0" fillId="0" borderId="5" xfId="0" applyBorder="1" applyAlignment="1">
      <alignment horizontal="right"/>
    </xf>
    <xf numFmtId="9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Cash</a:t>
            </a:r>
            <a:r>
              <a:rPr lang="en-IN" baseline="0"/>
              <a:t> Flow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8610420531551039"/>
          <c:y val="0.17542625518486682"/>
          <c:w val="0.81389579468448958"/>
          <c:h val="0.77420337658142047"/>
        </c:manualLayout>
      </c:layou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5.6003299661578215E-2"/>
                  <c:y val="-5.49494926185958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B6E-4914-AC17-E4A5C3BB8875}"/>
                </c:ext>
              </c:extLst>
            </c:dLbl>
            <c:dLbl>
              <c:idx val="1"/>
              <c:layout>
                <c:manualLayout>
                  <c:x val="-6.3218359726037662E-2"/>
                  <c:y val="-0.1144781096220744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B6E-4914-AC17-E4A5C3BB8875}"/>
                </c:ext>
              </c:extLst>
            </c:dLbl>
            <c:dLbl>
              <c:idx val="2"/>
              <c:layout>
                <c:manualLayout>
                  <c:x val="-9.4435360652223979E-2"/>
                  <c:y val="-8.24242389278935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B6E-4914-AC17-E4A5C3BB8875}"/>
                </c:ext>
              </c:extLst>
            </c:dLbl>
            <c:dLbl>
              <c:idx val="3"/>
              <c:layout>
                <c:manualLayout>
                  <c:x val="-8.6631110420677407E-2"/>
                  <c:y val="-8.24242389278935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B6E-4914-AC17-E4A5C3BB8875}"/>
                </c:ext>
              </c:extLst>
            </c:dLbl>
            <c:dLbl>
              <c:idx val="4"/>
              <c:layout>
                <c:manualLayout>
                  <c:x val="-8.3509410328058725E-2"/>
                  <c:y val="-8.2424238927893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B6E-4914-AC17-E4A5C3BB8875}"/>
                </c:ext>
              </c:extLst>
            </c:dLbl>
            <c:dLbl>
              <c:idx val="5"/>
              <c:layout>
                <c:manualLayout>
                  <c:x val="-9.2874510605914617E-2"/>
                  <c:y val="-0.1190572340069573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B6E-4914-AC17-E4A5C3BB8875}"/>
                </c:ext>
              </c:extLst>
            </c:dLbl>
            <c:dLbl>
              <c:idx val="6"/>
              <c:layout>
                <c:manualLayout>
                  <c:x val="-8.5070260374368045E-2"/>
                  <c:y val="-9.61616120825425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B6E-4914-AC17-E4A5C3BB8875}"/>
                </c:ext>
              </c:extLst>
            </c:dLbl>
            <c:dLbl>
              <c:idx val="7"/>
              <c:layout>
                <c:manualLayout>
                  <c:x val="-8.3406050100582649E-2"/>
                  <c:y val="-7.32661704386152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7393771726966893E-2"/>
                      <c:h val="6.403923480307600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B6E-4914-AC17-E4A5C3BB8875}"/>
                </c:ext>
              </c:extLst>
            </c:dLbl>
            <c:dLbl>
              <c:idx val="8"/>
              <c:layout>
                <c:manualLayout>
                  <c:x val="-6.1657509679728321E-2"/>
                  <c:y val="-8.24242389278935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B6E-4914-AC17-E4A5C3BB8875}"/>
                </c:ext>
              </c:extLst>
            </c:dLbl>
            <c:dLbl>
              <c:idx val="9"/>
              <c:layout>
                <c:manualLayout>
                  <c:x val="-1.1446101446594329E-16"/>
                  <c:y val="-8.70033633127765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B6E-4914-AC17-E4A5C3BB88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'Free Cash Flow Projection'!$C$13:$L$13</c:f>
              <c:numCache>
                <c:formatCode>General</c:formatCode>
                <c:ptCount val="10"/>
                <c:pt idx="0">
                  <c:v>-1444444.4444444478</c:v>
                </c:pt>
                <c:pt idx="1">
                  <c:v>27688888.888888896</c:v>
                </c:pt>
                <c:pt idx="2">
                  <c:v>116838777.77777773</c:v>
                </c:pt>
                <c:pt idx="3">
                  <c:v>197711351.11111093</c:v>
                </c:pt>
                <c:pt idx="4">
                  <c:v>259379800.08333308</c:v>
                </c:pt>
                <c:pt idx="5">
                  <c:v>301442025.06705517</c:v>
                </c:pt>
                <c:pt idx="6">
                  <c:v>323310303.81478733</c:v>
                </c:pt>
                <c:pt idx="7">
                  <c:v>343802295.1272918</c:v>
                </c:pt>
                <c:pt idx="8">
                  <c:v>343935779.4951967</c:v>
                </c:pt>
                <c:pt idx="9">
                  <c:v>342397217.26614088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6E-4914-AC17-E4A5C3BB887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43855423"/>
        <c:axId val="643854943"/>
      </c:lineChart>
      <c:catAx>
        <c:axId val="6438554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854943"/>
        <c:crosses val="autoZero"/>
        <c:auto val="1"/>
        <c:lblAlgn val="ctr"/>
        <c:lblOffset val="100"/>
        <c:noMultiLvlLbl val="0"/>
      </c:catAx>
      <c:valAx>
        <c:axId val="643854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855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918983759842524"/>
          <c:y val="0.21278393598858394"/>
          <c:w val="0.71370365813648295"/>
          <c:h val="0.7095461610987946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2B5-4E8C-ABA0-C927A6BE66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2B5-4E8C-ABA0-C927A6BE66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Dashboard!$G$3:$G$4</c:f>
              <c:strCache>
                <c:ptCount val="2"/>
                <c:pt idx="0">
                  <c:v>Initial Investment </c:v>
                </c:pt>
                <c:pt idx="1">
                  <c:v>NPV</c:v>
                </c:pt>
              </c:strCache>
            </c:strRef>
          </c:cat>
          <c:val>
            <c:numRef>
              <c:f>Dashboard!$H$3:$H$4</c:f>
              <c:numCache>
                <c:formatCode>General</c:formatCode>
                <c:ptCount val="2"/>
                <c:pt idx="0">
                  <c:v>240000000</c:v>
                </c:pt>
                <c:pt idx="1">
                  <c:v>1237405804.3684137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86-4F2F-8073-E1645A0EF8A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228599</xdr:colOff>
      <xdr:row>15</xdr:row>
      <xdr:rowOff>80010</xdr:rowOff>
    </xdr:from>
    <xdr:to>
      <xdr:col>15</xdr:col>
      <xdr:colOff>44823</xdr:colOff>
      <xdr:row>30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314271-12CB-BE1D-17FF-05F5E3BD7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4</xdr:row>
      <xdr:rowOff>64770</xdr:rowOff>
    </xdr:from>
    <xdr:to>
      <xdr:col>8</xdr:col>
      <xdr:colOff>129540</xdr:colOff>
      <xdr:row>14</xdr:row>
      <xdr:rowOff>182880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8C5BE1-4CDC-75B8-E6CB-C97FB1BFF9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55298-D2D6-40C2-88C4-13E0C595B1C7}">
  <dimension ref="A1:M51"/>
  <sheetViews>
    <sheetView topLeftCell="A27" workbookViewId="0">
      <selection activeCell="B15" sqref="B1:B1048576"/>
    </sheetView>
  </sheetViews>
  <sheetFormatPr defaultRowHeight="14.4" x14ac:dyDescent="0.3"/>
  <cols>
    <col min="1" max="1" width="41" customWidth="1"/>
    <col min="2" max="2" width="12.77734375" bestFit="1" customWidth="1"/>
    <col min="3" max="3" width="12.77734375" customWidth="1"/>
    <col min="4" max="4" width="17" customWidth="1"/>
    <col min="5" max="5" width="5.6640625" customWidth="1"/>
    <col min="6" max="6" width="57.6640625" customWidth="1"/>
    <col min="7" max="7" width="23" customWidth="1"/>
    <col min="8" max="8" width="10.5546875" bestFit="1" customWidth="1"/>
    <col min="15" max="15" width="12.88671875" customWidth="1"/>
  </cols>
  <sheetData>
    <row r="1" spans="1:8" ht="18" x14ac:dyDescent="0.35">
      <c r="A1" s="32" t="s">
        <v>148</v>
      </c>
      <c r="D1" s="36" t="s">
        <v>31</v>
      </c>
      <c r="G1">
        <v>1</v>
      </c>
      <c r="H1" t="s">
        <v>8</v>
      </c>
    </row>
    <row r="2" spans="1:8" ht="23.4" x14ac:dyDescent="0.45">
      <c r="A2" s="31"/>
      <c r="G2">
        <v>2</v>
      </c>
      <c r="H2" t="s">
        <v>33</v>
      </c>
    </row>
    <row r="3" spans="1:8" x14ac:dyDescent="0.3">
      <c r="A3" t="s">
        <v>0</v>
      </c>
      <c r="B3">
        <v>2</v>
      </c>
      <c r="G3">
        <v>3</v>
      </c>
      <c r="H3" t="s">
        <v>34</v>
      </c>
    </row>
    <row r="5" spans="1:8" x14ac:dyDescent="0.3">
      <c r="A5" s="1" t="s">
        <v>1</v>
      </c>
    </row>
    <row r="6" spans="1:8" x14ac:dyDescent="0.3">
      <c r="A6" s="2" t="s">
        <v>2</v>
      </c>
      <c r="B6" s="3">
        <v>0.05</v>
      </c>
      <c r="C6" s="3"/>
    </row>
    <row r="7" spans="1:8" x14ac:dyDescent="0.3">
      <c r="A7" s="2" t="s">
        <v>3</v>
      </c>
      <c r="B7" s="3">
        <v>0.06</v>
      </c>
      <c r="C7" s="3"/>
      <c r="F7" t="s">
        <v>12</v>
      </c>
    </row>
    <row r="10" spans="1:8" x14ac:dyDescent="0.3">
      <c r="A10" s="1" t="s">
        <v>4</v>
      </c>
    </row>
    <row r="11" spans="1:8" x14ac:dyDescent="0.3">
      <c r="A11" s="2" t="s">
        <v>5</v>
      </c>
      <c r="B11">
        <v>12000</v>
      </c>
    </row>
    <row r="12" spans="1:8" x14ac:dyDescent="0.3">
      <c r="A12" s="2" t="s">
        <v>6</v>
      </c>
      <c r="B12">
        <v>9500</v>
      </c>
      <c r="F12" t="s">
        <v>13</v>
      </c>
    </row>
    <row r="14" spans="1:8" x14ac:dyDescent="0.3">
      <c r="A14" s="1" t="s">
        <v>7</v>
      </c>
    </row>
    <row r="15" spans="1:8" x14ac:dyDescent="0.3">
      <c r="A15" t="s">
        <v>8</v>
      </c>
      <c r="B15" s="4">
        <v>270000000</v>
      </c>
      <c r="C15" s="4"/>
    </row>
    <row r="16" spans="1:8" x14ac:dyDescent="0.3">
      <c r="A16" t="s">
        <v>9</v>
      </c>
      <c r="B16" s="4">
        <v>300000000</v>
      </c>
      <c r="C16" s="4"/>
    </row>
    <row r="17" spans="1:3" x14ac:dyDescent="0.3">
      <c r="A17" t="s">
        <v>10</v>
      </c>
      <c r="B17" s="4">
        <v>340000000</v>
      </c>
      <c r="C17" s="4"/>
    </row>
    <row r="19" spans="1:3" x14ac:dyDescent="0.3">
      <c r="A19" t="s">
        <v>11</v>
      </c>
      <c r="B19">
        <v>10</v>
      </c>
    </row>
    <row r="21" spans="1:3" x14ac:dyDescent="0.3">
      <c r="A21" t="s">
        <v>14</v>
      </c>
    </row>
    <row r="22" spans="1:3" x14ac:dyDescent="0.3">
      <c r="A22" t="s">
        <v>65</v>
      </c>
      <c r="B22">
        <v>35</v>
      </c>
    </row>
    <row r="23" spans="1:3" x14ac:dyDescent="0.3">
      <c r="A23" t="s">
        <v>15</v>
      </c>
      <c r="B23">
        <v>35</v>
      </c>
    </row>
    <row r="24" spans="1:3" x14ac:dyDescent="0.3">
      <c r="A24" t="s">
        <v>16</v>
      </c>
      <c r="B24">
        <v>25</v>
      </c>
    </row>
    <row r="25" spans="1:3" x14ac:dyDescent="0.3">
      <c r="A25" s="1" t="s">
        <v>17</v>
      </c>
      <c r="B25">
        <f>B22+B23-B24</f>
        <v>45</v>
      </c>
    </row>
    <row r="27" spans="1:3" x14ac:dyDescent="0.3">
      <c r="A27" s="9" t="s">
        <v>19</v>
      </c>
    </row>
    <row r="29" spans="1:3" ht="18" x14ac:dyDescent="0.3">
      <c r="A29" s="5" t="s">
        <v>18</v>
      </c>
    </row>
    <row r="30" spans="1:3" x14ac:dyDescent="0.3">
      <c r="A30" s="6"/>
    </row>
    <row r="31" spans="1:3" x14ac:dyDescent="0.3">
      <c r="A31" s="8" t="s">
        <v>22</v>
      </c>
      <c r="B31" s="11">
        <v>200000000</v>
      </c>
      <c r="C31" s="11"/>
    </row>
    <row r="32" spans="1:3" x14ac:dyDescent="0.3">
      <c r="A32" s="8" t="s">
        <v>21</v>
      </c>
      <c r="B32" s="3">
        <v>0.09</v>
      </c>
      <c r="C32" s="3"/>
    </row>
    <row r="33" spans="1:13" x14ac:dyDescent="0.3">
      <c r="A33" s="8" t="s">
        <v>20</v>
      </c>
      <c r="B33">
        <v>10</v>
      </c>
    </row>
    <row r="36" spans="1:13" x14ac:dyDescent="0.3">
      <c r="A36" s="8" t="s">
        <v>23</v>
      </c>
      <c r="C36">
        <v>0</v>
      </c>
      <c r="D36">
        <v>1</v>
      </c>
      <c r="E36">
        <v>2</v>
      </c>
      <c r="F36">
        <v>3</v>
      </c>
      <c r="G36">
        <v>4</v>
      </c>
      <c r="H36">
        <v>5</v>
      </c>
      <c r="I36">
        <v>6</v>
      </c>
      <c r="J36">
        <v>7</v>
      </c>
      <c r="K36">
        <v>8</v>
      </c>
      <c r="L36">
        <v>9</v>
      </c>
      <c r="M36">
        <v>10</v>
      </c>
    </row>
    <row r="37" spans="1:13" x14ac:dyDescent="0.3">
      <c r="A37" s="8" t="s">
        <v>30</v>
      </c>
      <c r="C37" s="3">
        <v>0</v>
      </c>
      <c r="D37" s="3">
        <v>0</v>
      </c>
      <c r="E37" s="3">
        <v>0.05</v>
      </c>
      <c r="F37" s="3">
        <v>0.05</v>
      </c>
      <c r="G37" s="3">
        <v>0.1</v>
      </c>
      <c r="H37" s="3">
        <v>0.1</v>
      </c>
      <c r="I37" s="3">
        <v>0.15</v>
      </c>
      <c r="J37" s="3">
        <v>0.15</v>
      </c>
      <c r="K37" s="3">
        <v>0.15</v>
      </c>
      <c r="L37" s="3">
        <v>0.15</v>
      </c>
      <c r="M37" s="3">
        <v>0.1</v>
      </c>
    </row>
    <row r="40" spans="1:13" x14ac:dyDescent="0.3">
      <c r="A40" s="12" t="s">
        <v>149</v>
      </c>
    </row>
    <row r="41" spans="1:13" x14ac:dyDescent="0.3">
      <c r="A41" s="6"/>
    </row>
    <row r="42" spans="1:13" x14ac:dyDescent="0.3">
      <c r="A42" s="6" t="s">
        <v>24</v>
      </c>
    </row>
    <row r="43" spans="1:13" x14ac:dyDescent="0.3">
      <c r="A43" s="6" t="s">
        <v>26</v>
      </c>
    </row>
    <row r="44" spans="1:13" x14ac:dyDescent="0.3">
      <c r="A44" s="6"/>
    </row>
    <row r="45" spans="1:13" x14ac:dyDescent="0.3">
      <c r="A45" s="6" t="s">
        <v>25</v>
      </c>
    </row>
    <row r="46" spans="1:13" x14ac:dyDescent="0.3">
      <c r="A46" s="6" t="s">
        <v>27</v>
      </c>
    </row>
    <row r="49" spans="1:2" x14ac:dyDescent="0.3">
      <c r="A49" s="13" t="s">
        <v>28</v>
      </c>
      <c r="B49" s="3">
        <v>0.25</v>
      </c>
    </row>
    <row r="51" spans="1:2" x14ac:dyDescent="0.3">
      <c r="A51" s="13" t="s">
        <v>29</v>
      </c>
      <c r="B51" s="4">
        <v>50000000</v>
      </c>
    </row>
  </sheetData>
  <dataValidations count="1">
    <dataValidation type="list" allowBlank="1" showInputMessage="1" showErrorMessage="1" sqref="B3:C3" xr:uid="{FB88E53E-5EE2-432F-A93E-AF5285C3589C}">
      <formula1>"1,2,3"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BB09E-30A2-457C-90D9-A835E3F29BF3}">
  <dimension ref="A1:L34"/>
  <sheetViews>
    <sheetView topLeftCell="A20" zoomScale="122" workbookViewId="0">
      <selection activeCell="C34" sqref="C34"/>
    </sheetView>
  </sheetViews>
  <sheetFormatPr defaultRowHeight="14.4" x14ac:dyDescent="0.3"/>
  <cols>
    <col min="1" max="1" width="34.5546875" bestFit="1" customWidth="1"/>
    <col min="3" max="6" width="10" bestFit="1" customWidth="1"/>
    <col min="7" max="12" width="12" bestFit="1" customWidth="1"/>
  </cols>
  <sheetData>
    <row r="1" spans="1:12" ht="18" x14ac:dyDescent="0.35">
      <c r="A1" s="14" t="s">
        <v>32</v>
      </c>
    </row>
    <row r="3" spans="1:12" x14ac:dyDescent="0.3">
      <c r="A3" t="s">
        <v>8</v>
      </c>
      <c r="B3">
        <v>240000</v>
      </c>
    </row>
    <row r="4" spans="1:12" x14ac:dyDescent="0.3">
      <c r="A4" t="s">
        <v>33</v>
      </c>
      <c r="B4">
        <v>200000</v>
      </c>
    </row>
    <row r="5" spans="1:12" x14ac:dyDescent="0.3">
      <c r="A5" t="s">
        <v>34</v>
      </c>
      <c r="B5">
        <v>160000</v>
      </c>
    </row>
    <row r="7" spans="1:12" x14ac:dyDescent="0.3">
      <c r="A7" t="s">
        <v>35</v>
      </c>
      <c r="C7" s="16">
        <v>1</v>
      </c>
      <c r="D7" s="16">
        <v>2</v>
      </c>
      <c r="E7" s="16">
        <v>3</v>
      </c>
      <c r="F7" s="16">
        <v>4</v>
      </c>
      <c r="G7" s="16">
        <v>5</v>
      </c>
      <c r="H7" s="16">
        <v>6</v>
      </c>
      <c r="I7" s="16">
        <v>7</v>
      </c>
      <c r="J7" s="16">
        <v>8</v>
      </c>
      <c r="K7" s="16">
        <v>9</v>
      </c>
      <c r="L7" s="16">
        <v>10</v>
      </c>
    </row>
    <row r="8" spans="1:12" x14ac:dyDescent="0.3">
      <c r="A8" t="s">
        <v>8</v>
      </c>
      <c r="C8">
        <f>$B$3*C15</f>
        <v>60000</v>
      </c>
      <c r="D8">
        <f t="shared" ref="D8:L8" si="0">$B$3*D15</f>
        <v>72000</v>
      </c>
      <c r="E8">
        <f t="shared" si="0"/>
        <v>132000</v>
      </c>
      <c r="F8">
        <f t="shared" si="0"/>
        <v>180000</v>
      </c>
      <c r="G8">
        <f t="shared" si="0"/>
        <v>216000</v>
      </c>
      <c r="H8">
        <f t="shared" si="0"/>
        <v>228000</v>
      </c>
      <c r="I8">
        <f t="shared" si="0"/>
        <v>240000</v>
      </c>
      <c r="J8">
        <f t="shared" si="0"/>
        <v>240000</v>
      </c>
      <c r="K8">
        <f t="shared" si="0"/>
        <v>240000</v>
      </c>
      <c r="L8">
        <f t="shared" si="0"/>
        <v>240000</v>
      </c>
    </row>
    <row r="9" spans="1:12" x14ac:dyDescent="0.3">
      <c r="A9" t="s">
        <v>9</v>
      </c>
      <c r="C9">
        <f>$B$4*C16</f>
        <v>20000</v>
      </c>
      <c r="D9">
        <f t="shared" ref="D9:L9" si="1">$B$4*D16</f>
        <v>40000</v>
      </c>
      <c r="E9">
        <f t="shared" si="1"/>
        <v>80000</v>
      </c>
      <c r="F9">
        <f t="shared" si="1"/>
        <v>120000</v>
      </c>
      <c r="G9">
        <f t="shared" si="1"/>
        <v>150000</v>
      </c>
      <c r="H9">
        <f t="shared" si="1"/>
        <v>170000</v>
      </c>
      <c r="I9">
        <f t="shared" si="1"/>
        <v>180000</v>
      </c>
      <c r="J9">
        <f t="shared" si="1"/>
        <v>190000</v>
      </c>
      <c r="K9">
        <f t="shared" si="1"/>
        <v>190000</v>
      </c>
      <c r="L9">
        <f t="shared" si="1"/>
        <v>190000</v>
      </c>
    </row>
    <row r="10" spans="1:12" x14ac:dyDescent="0.3">
      <c r="A10" t="s">
        <v>34</v>
      </c>
      <c r="C10">
        <f>$B$5*C17</f>
        <v>8000</v>
      </c>
      <c r="D10">
        <f t="shared" ref="D10:L10" si="2">$B$5*D17</f>
        <v>16000</v>
      </c>
      <c r="E10">
        <f t="shared" si="2"/>
        <v>40000</v>
      </c>
      <c r="F10">
        <f t="shared" si="2"/>
        <v>64000</v>
      </c>
      <c r="G10">
        <f t="shared" si="2"/>
        <v>88000</v>
      </c>
      <c r="H10">
        <f t="shared" si="2"/>
        <v>104000</v>
      </c>
      <c r="I10">
        <f t="shared" si="2"/>
        <v>112000</v>
      </c>
      <c r="J10">
        <f t="shared" si="2"/>
        <v>120000</v>
      </c>
      <c r="K10">
        <f t="shared" si="2"/>
        <v>128000</v>
      </c>
      <c r="L10">
        <f t="shared" si="2"/>
        <v>136000</v>
      </c>
    </row>
    <row r="11" spans="1:12" x14ac:dyDescent="0.3">
      <c r="A11" s="15" t="s">
        <v>36</v>
      </c>
      <c r="B11" s="15"/>
      <c r="C11" s="15">
        <f>CHOOSE('Model Assumptions'!$B$3,'Saving Forecast '!C8,'Saving Forecast '!C9,'Saving Forecast '!C10)</f>
        <v>20000</v>
      </c>
      <c r="D11" s="15">
        <f>CHOOSE('Model Assumptions'!$B$3,'Saving Forecast '!D8,'Saving Forecast '!D9,'Saving Forecast '!D10)</f>
        <v>40000</v>
      </c>
      <c r="E11" s="15">
        <f>CHOOSE('Model Assumptions'!$B$3,'Saving Forecast '!E8,'Saving Forecast '!E9,'Saving Forecast '!E10)</f>
        <v>80000</v>
      </c>
      <c r="F11" s="15">
        <f>CHOOSE('Model Assumptions'!$B$3,'Saving Forecast '!F8,'Saving Forecast '!F9,'Saving Forecast '!F10)</f>
        <v>120000</v>
      </c>
      <c r="G11" s="15">
        <f>CHOOSE('Model Assumptions'!$B$3,'Saving Forecast '!G8,'Saving Forecast '!G9,'Saving Forecast '!G10)</f>
        <v>150000</v>
      </c>
      <c r="H11" s="15">
        <f>CHOOSE('Model Assumptions'!$B$3,'Saving Forecast '!H8,'Saving Forecast '!H9,'Saving Forecast '!H10)</f>
        <v>170000</v>
      </c>
      <c r="I11" s="15">
        <f>CHOOSE('Model Assumptions'!$B$3,'Saving Forecast '!I8,'Saving Forecast '!I9,'Saving Forecast '!I10)</f>
        <v>180000</v>
      </c>
      <c r="J11" s="15">
        <f>CHOOSE('Model Assumptions'!$B$3,'Saving Forecast '!J8,'Saving Forecast '!J9,'Saving Forecast '!J10)</f>
        <v>190000</v>
      </c>
      <c r="K11" s="15">
        <f>CHOOSE('Model Assumptions'!$B$3,'Saving Forecast '!K8,'Saving Forecast '!K9,'Saving Forecast '!K10)</f>
        <v>190000</v>
      </c>
      <c r="L11" s="15">
        <f>CHOOSE('Model Assumptions'!$B$3,'Saving Forecast '!L8,'Saving Forecast '!L9,'Saving Forecast '!L10)</f>
        <v>190000</v>
      </c>
    </row>
    <row r="14" spans="1:12" x14ac:dyDescent="0.3">
      <c r="A14" t="s">
        <v>37</v>
      </c>
      <c r="C14" s="16">
        <v>1</v>
      </c>
      <c r="D14" s="16">
        <v>2</v>
      </c>
      <c r="E14" s="16">
        <v>3</v>
      </c>
      <c r="F14" s="16">
        <v>4</v>
      </c>
      <c r="G14" s="16">
        <v>5</v>
      </c>
      <c r="H14" s="16">
        <v>6</v>
      </c>
      <c r="I14" s="16">
        <v>7</v>
      </c>
      <c r="J14" s="16">
        <v>8</v>
      </c>
      <c r="K14" s="16">
        <v>9</v>
      </c>
      <c r="L14" s="16">
        <v>10</v>
      </c>
    </row>
    <row r="15" spans="1:12" x14ac:dyDescent="0.3">
      <c r="A15" t="s">
        <v>8</v>
      </c>
      <c r="C15" s="3">
        <v>0.25</v>
      </c>
      <c r="D15" s="3">
        <v>0.3</v>
      </c>
      <c r="E15" s="3">
        <v>0.55000000000000004</v>
      </c>
      <c r="F15" s="3">
        <v>0.75</v>
      </c>
      <c r="G15" s="3">
        <v>0.9</v>
      </c>
      <c r="H15" s="3">
        <v>0.95</v>
      </c>
      <c r="I15" s="3">
        <v>1</v>
      </c>
      <c r="J15" s="3">
        <v>1</v>
      </c>
      <c r="K15" s="3">
        <v>1</v>
      </c>
      <c r="L15" s="3">
        <v>1</v>
      </c>
    </row>
    <row r="16" spans="1:12" x14ac:dyDescent="0.3">
      <c r="A16" t="s">
        <v>9</v>
      </c>
      <c r="C16" s="3">
        <v>0.1</v>
      </c>
      <c r="D16" s="3">
        <v>0.2</v>
      </c>
      <c r="E16" s="3">
        <v>0.4</v>
      </c>
      <c r="F16" s="3">
        <v>0.6</v>
      </c>
      <c r="G16" s="3">
        <v>0.75</v>
      </c>
      <c r="H16" s="3">
        <v>0.85</v>
      </c>
      <c r="I16" s="3">
        <v>0.9</v>
      </c>
      <c r="J16" s="3">
        <v>0.95</v>
      </c>
      <c r="K16" s="3">
        <v>0.95</v>
      </c>
      <c r="L16" s="3">
        <v>0.95</v>
      </c>
    </row>
    <row r="17" spans="1:12" x14ac:dyDescent="0.3">
      <c r="A17" t="s">
        <v>34</v>
      </c>
      <c r="C17" s="3">
        <v>0.05</v>
      </c>
      <c r="D17" s="3">
        <v>0.1</v>
      </c>
      <c r="E17" s="3">
        <v>0.25</v>
      </c>
      <c r="F17" s="3">
        <v>0.4</v>
      </c>
      <c r="G17" s="3">
        <v>0.55000000000000004</v>
      </c>
      <c r="H17" s="3">
        <v>0.65</v>
      </c>
      <c r="I17" s="3">
        <v>0.7</v>
      </c>
      <c r="J17" s="3">
        <v>0.75</v>
      </c>
      <c r="K17" s="3">
        <v>0.8</v>
      </c>
      <c r="L17" s="3">
        <v>0.85</v>
      </c>
    </row>
    <row r="20" spans="1:12" x14ac:dyDescent="0.3">
      <c r="A20" t="s">
        <v>38</v>
      </c>
      <c r="B20" s="3">
        <f>'Model Assumptions'!B6</f>
        <v>0.05</v>
      </c>
    </row>
    <row r="21" spans="1:12" x14ac:dyDescent="0.3">
      <c r="A21" t="s">
        <v>39</v>
      </c>
      <c r="B21" s="3">
        <f>'Model Assumptions'!B7</f>
        <v>0.06</v>
      </c>
    </row>
    <row r="24" spans="1:12" x14ac:dyDescent="0.3">
      <c r="A24" s="13" t="s">
        <v>40</v>
      </c>
    </row>
    <row r="25" spans="1:12" x14ac:dyDescent="0.3">
      <c r="A25" t="s">
        <v>5</v>
      </c>
      <c r="C25">
        <f>'Model Assumptions'!B11</f>
        <v>12000</v>
      </c>
      <c r="D25">
        <f>C25*(1+$B$20)</f>
        <v>12600</v>
      </c>
      <c r="E25">
        <f t="shared" ref="E25:L25" si="3">D25*(1+$B$20)</f>
        <v>13230</v>
      </c>
      <c r="F25" s="11">
        <f t="shared" si="3"/>
        <v>13891.5</v>
      </c>
      <c r="G25" s="11">
        <f t="shared" si="3"/>
        <v>14586.075000000001</v>
      </c>
      <c r="H25" s="11">
        <f t="shared" si="3"/>
        <v>15315.378750000002</v>
      </c>
      <c r="I25" s="11">
        <f t="shared" si="3"/>
        <v>16081.147687500003</v>
      </c>
      <c r="J25" s="11">
        <f t="shared" si="3"/>
        <v>16885.205071875003</v>
      </c>
      <c r="K25" s="11">
        <f t="shared" si="3"/>
        <v>17729.465325468755</v>
      </c>
      <c r="L25" s="11">
        <f t="shared" si="3"/>
        <v>18615.938591742193</v>
      </c>
    </row>
    <row r="26" spans="1:12" x14ac:dyDescent="0.3">
      <c r="A26" t="s">
        <v>6</v>
      </c>
      <c r="C26">
        <f>'Model Assumptions'!B12</f>
        <v>9500</v>
      </c>
      <c r="D26">
        <f>C26*(1+$B$21)</f>
        <v>10070</v>
      </c>
      <c r="E26" s="11">
        <f t="shared" ref="E26:L26" si="4">D26*(1+$B$21)</f>
        <v>10674.2</v>
      </c>
      <c r="F26" s="11">
        <f t="shared" si="4"/>
        <v>11314.652000000002</v>
      </c>
      <c r="G26" s="11">
        <f t="shared" si="4"/>
        <v>11993.531120000003</v>
      </c>
      <c r="H26" s="11">
        <f t="shared" si="4"/>
        <v>12713.142987200004</v>
      </c>
      <c r="I26" s="11">
        <f t="shared" si="4"/>
        <v>13475.931566432006</v>
      </c>
      <c r="J26" s="11">
        <f t="shared" si="4"/>
        <v>14284.487460417926</v>
      </c>
      <c r="K26" s="11">
        <f t="shared" si="4"/>
        <v>15141.556708043003</v>
      </c>
      <c r="L26" s="11">
        <f t="shared" si="4"/>
        <v>16050.050110525584</v>
      </c>
    </row>
    <row r="27" spans="1:12" x14ac:dyDescent="0.3">
      <c r="A27" s="17" t="s">
        <v>41</v>
      </c>
      <c r="B27" s="15"/>
      <c r="C27" s="18">
        <f>C25-C26</f>
        <v>2500</v>
      </c>
      <c r="D27" s="18">
        <f t="shared" ref="D27:L27" si="5">D25-D26</f>
        <v>2530</v>
      </c>
      <c r="E27" s="18">
        <f t="shared" si="5"/>
        <v>2555.7999999999993</v>
      </c>
      <c r="F27" s="18">
        <f t="shared" si="5"/>
        <v>2576.8479999999981</v>
      </c>
      <c r="G27" s="18">
        <f t="shared" si="5"/>
        <v>2592.5438799999974</v>
      </c>
      <c r="H27" s="18">
        <f t="shared" si="5"/>
        <v>2602.2357627999972</v>
      </c>
      <c r="I27" s="18">
        <f t="shared" si="5"/>
        <v>2605.2161210679969</v>
      </c>
      <c r="J27" s="18">
        <f t="shared" si="5"/>
        <v>2600.7176114570775</v>
      </c>
      <c r="K27" s="18">
        <f t="shared" si="5"/>
        <v>2587.9086174257518</v>
      </c>
      <c r="L27" s="18">
        <f t="shared" si="5"/>
        <v>2565.8884812166089</v>
      </c>
    </row>
    <row r="30" spans="1:12" x14ac:dyDescent="0.3">
      <c r="A30" t="s">
        <v>42</v>
      </c>
      <c r="C30" s="16">
        <v>1</v>
      </c>
      <c r="D30" s="16">
        <v>2</v>
      </c>
      <c r="E30" s="16">
        <v>3</v>
      </c>
      <c r="F30" s="16">
        <v>4</v>
      </c>
      <c r="G30" s="16">
        <v>5</v>
      </c>
      <c r="H30" s="16">
        <v>6</v>
      </c>
      <c r="I30" s="16">
        <v>7</v>
      </c>
      <c r="J30" s="16">
        <v>8</v>
      </c>
      <c r="K30" s="16">
        <v>9</v>
      </c>
      <c r="L30" s="16">
        <v>10</v>
      </c>
    </row>
    <row r="31" spans="1:12" x14ac:dyDescent="0.3">
      <c r="A31" t="s">
        <v>8</v>
      </c>
      <c r="C31">
        <f>C8*C$27</f>
        <v>150000000</v>
      </c>
      <c r="D31">
        <f>D8*D$27</f>
        <v>182160000</v>
      </c>
      <c r="E31">
        <f>E$27*E8</f>
        <v>337365599.99999988</v>
      </c>
      <c r="F31">
        <f>F8*F$27</f>
        <v>463832639.99999964</v>
      </c>
      <c r="G31" s="11">
        <f>G$27*G8</f>
        <v>559989478.07999945</v>
      </c>
      <c r="H31" s="11">
        <f>H8*H$27</f>
        <v>593309753.91839933</v>
      </c>
      <c r="I31" s="11">
        <f>I$27*I8</f>
        <v>625251869.05631924</v>
      </c>
      <c r="J31" s="11">
        <f>J8*J$27</f>
        <v>624172226.74969864</v>
      </c>
      <c r="K31" s="11">
        <f>K$27*K8</f>
        <v>621098068.1821804</v>
      </c>
      <c r="L31" s="11">
        <f>L$27*L8</f>
        <v>615813235.49198616</v>
      </c>
    </row>
    <row r="32" spans="1:12" x14ac:dyDescent="0.3">
      <c r="A32" t="s">
        <v>9</v>
      </c>
      <c r="C32">
        <f t="shared" ref="C32:D33" si="6">C9*C$27</f>
        <v>50000000</v>
      </c>
      <c r="D32">
        <f t="shared" si="6"/>
        <v>101200000</v>
      </c>
      <c r="E32">
        <f t="shared" ref="E32:E33" si="7">E$27*E9</f>
        <v>204463999.99999994</v>
      </c>
      <c r="F32">
        <f t="shared" ref="F32:F33" si="8">F9*F$27</f>
        <v>309221759.99999976</v>
      </c>
      <c r="G32" s="11">
        <f t="shared" ref="G32:G33" si="9">G$27*G9</f>
        <v>388881581.99999964</v>
      </c>
      <c r="H32" s="11">
        <f t="shared" ref="H32:H33" si="10">H9*H$27</f>
        <v>442380079.67599952</v>
      </c>
      <c r="I32" s="11">
        <f t="shared" ref="I32:I33" si="11">I$27*I9</f>
        <v>468938901.79223943</v>
      </c>
      <c r="J32" s="11">
        <f t="shared" ref="J32:J33" si="12">J9*J$27</f>
        <v>494136346.17684472</v>
      </c>
      <c r="K32" s="11">
        <f t="shared" ref="K32:L33" si="13">K$27*K9</f>
        <v>491702637.31089282</v>
      </c>
      <c r="L32" s="11">
        <f t="shared" si="13"/>
        <v>487518811.43115568</v>
      </c>
    </row>
    <row r="33" spans="1:12" x14ac:dyDescent="0.3">
      <c r="A33" t="s">
        <v>34</v>
      </c>
      <c r="C33">
        <f t="shared" si="6"/>
        <v>20000000</v>
      </c>
      <c r="D33">
        <f t="shared" si="6"/>
        <v>40480000</v>
      </c>
      <c r="E33">
        <f t="shared" si="7"/>
        <v>102231999.99999997</v>
      </c>
      <c r="F33">
        <f t="shared" si="8"/>
        <v>164918271.99999988</v>
      </c>
      <c r="G33" s="11">
        <f t="shared" si="9"/>
        <v>228143861.43999979</v>
      </c>
      <c r="H33" s="11">
        <f t="shared" si="10"/>
        <v>270632519.33119971</v>
      </c>
      <c r="I33" s="11">
        <f t="shared" si="11"/>
        <v>291784205.55961567</v>
      </c>
      <c r="J33" s="11">
        <f t="shared" si="12"/>
        <v>312086113.37484932</v>
      </c>
      <c r="K33" s="11">
        <f t="shared" si="13"/>
        <v>331252303.03049624</v>
      </c>
      <c r="L33" s="11">
        <f t="shared" si="13"/>
        <v>348960833.44545883</v>
      </c>
    </row>
    <row r="34" spans="1:12" x14ac:dyDescent="0.3">
      <c r="A34" s="15" t="s">
        <v>0</v>
      </c>
      <c r="B34" s="15"/>
      <c r="C34" s="15">
        <f>CHOOSE('Model Assumptions'!$B$3,'Saving Forecast '!C31,'Saving Forecast '!C32,'Saving Forecast '!C33)</f>
        <v>50000000</v>
      </c>
      <c r="D34" s="15">
        <f>CHOOSE('Model Assumptions'!$B$3,'Saving Forecast '!D31,'Saving Forecast '!D32,'Saving Forecast '!D33)</f>
        <v>101200000</v>
      </c>
      <c r="E34" s="15">
        <f>CHOOSE('Model Assumptions'!$B$3,'Saving Forecast '!E31,'Saving Forecast '!E32,'Saving Forecast '!E33)</f>
        <v>204463999.99999994</v>
      </c>
      <c r="F34" s="15">
        <f>CHOOSE('Model Assumptions'!$B$3,'Saving Forecast '!F31,'Saving Forecast '!F32,'Saving Forecast '!F33)</f>
        <v>309221759.99999976</v>
      </c>
      <c r="G34" s="18">
        <f>CHOOSE('Model Assumptions'!$B$3,'Saving Forecast '!G31,'Saving Forecast '!G32,'Saving Forecast '!G33)</f>
        <v>388881581.99999964</v>
      </c>
      <c r="H34" s="18">
        <f>CHOOSE('Model Assumptions'!$B$3,'Saving Forecast '!H31,'Saving Forecast '!H32,'Saving Forecast '!H33)</f>
        <v>442380079.67599952</v>
      </c>
      <c r="I34" s="18">
        <f>CHOOSE('Model Assumptions'!$B$3,'Saving Forecast '!I31,'Saving Forecast '!I32,'Saving Forecast '!I33)</f>
        <v>468938901.79223943</v>
      </c>
      <c r="J34" s="18">
        <f>CHOOSE('Model Assumptions'!$B$3,'Saving Forecast '!J31,'Saving Forecast '!J32,'Saving Forecast '!J33)</f>
        <v>494136346.17684472</v>
      </c>
      <c r="K34" s="18">
        <f>CHOOSE('Model Assumptions'!$B$3,'Saving Forecast '!K31,'Saving Forecast '!K32,'Saving Forecast '!K33)</f>
        <v>491702637.31089282</v>
      </c>
      <c r="L34" s="18">
        <f>CHOOSE('Model Assumptions'!$B$3,'Saving Forecast '!L31,'Saving Forecast '!L32,'Saving Forecast '!L33)</f>
        <v>487518811.43115568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F7019-A1B1-44CE-B56A-6FE000A91845}">
  <dimension ref="A1:M29"/>
  <sheetViews>
    <sheetView topLeftCell="A12" zoomScale="111" workbookViewId="0">
      <selection activeCell="D13" sqref="D13"/>
    </sheetView>
  </sheetViews>
  <sheetFormatPr defaultRowHeight="14.4" x14ac:dyDescent="0.3"/>
  <cols>
    <col min="1" max="1" width="28" bestFit="1" customWidth="1"/>
    <col min="2" max="2" width="12.109375" bestFit="1" customWidth="1"/>
    <col min="3" max="3" width="10.109375" bestFit="1" customWidth="1"/>
    <col min="4" max="13" width="10.5546875" bestFit="1" customWidth="1"/>
  </cols>
  <sheetData>
    <row r="1" spans="1:13" ht="18" x14ac:dyDescent="0.35">
      <c r="A1" s="32" t="s">
        <v>147</v>
      </c>
    </row>
    <row r="3" spans="1:13" x14ac:dyDescent="0.3">
      <c r="A3" t="s">
        <v>7</v>
      </c>
    </row>
    <row r="4" spans="1:13" x14ac:dyDescent="0.3">
      <c r="A4" t="s">
        <v>43</v>
      </c>
      <c r="B4" s="4">
        <f>'Model Assumptions'!B15</f>
        <v>270000000</v>
      </c>
    </row>
    <row r="5" spans="1:13" x14ac:dyDescent="0.3">
      <c r="A5" t="s">
        <v>33</v>
      </c>
      <c r="B5" s="4">
        <f>'Model Assumptions'!B16</f>
        <v>300000000</v>
      </c>
    </row>
    <row r="6" spans="1:13" x14ac:dyDescent="0.3">
      <c r="A6" t="s">
        <v>34</v>
      </c>
      <c r="B6" s="4">
        <f>'Model Assumptions'!B17</f>
        <v>340000000</v>
      </c>
    </row>
    <row r="8" spans="1:13" x14ac:dyDescent="0.3">
      <c r="A8" t="s">
        <v>44</v>
      </c>
      <c r="B8">
        <v>10</v>
      </c>
    </row>
    <row r="10" spans="1:13" x14ac:dyDescent="0.3">
      <c r="A10" t="s">
        <v>45</v>
      </c>
      <c r="C10">
        <v>0</v>
      </c>
      <c r="D10">
        <v>1</v>
      </c>
      <c r="E10">
        <v>2</v>
      </c>
      <c r="F10">
        <v>3</v>
      </c>
      <c r="G10">
        <v>4</v>
      </c>
      <c r="H10">
        <v>5</v>
      </c>
      <c r="I10">
        <v>6</v>
      </c>
      <c r="J10">
        <v>7</v>
      </c>
      <c r="K10">
        <v>8</v>
      </c>
      <c r="L10">
        <v>9</v>
      </c>
      <c r="M10">
        <v>10</v>
      </c>
    </row>
    <row r="11" spans="1:13" x14ac:dyDescent="0.3">
      <c r="C11" s="3">
        <v>0.8</v>
      </c>
      <c r="D11" s="3">
        <v>0.1</v>
      </c>
      <c r="E11" s="3">
        <v>0.1</v>
      </c>
      <c r="F11" s="3">
        <v>0.03</v>
      </c>
      <c r="G11" s="3">
        <v>0.03</v>
      </c>
      <c r="H11" s="3">
        <v>0.03</v>
      </c>
      <c r="I11" s="3">
        <v>0.03</v>
      </c>
      <c r="J11" s="3">
        <v>0.03</v>
      </c>
      <c r="K11" s="3">
        <v>0.03</v>
      </c>
      <c r="L11" s="3">
        <v>0.03</v>
      </c>
      <c r="M11" s="3">
        <v>0.03</v>
      </c>
    </row>
    <row r="13" spans="1:13" x14ac:dyDescent="0.3">
      <c r="A13" t="s">
        <v>46</v>
      </c>
      <c r="D13">
        <f>CHOOSE('Model Assumptions'!$B$3,'Fixed Asset Roll-Forward'!$B4,'Fixed Asset Roll-Forward'!$B5,'Fixed Asset Roll-Forward'!$B6)*'Fixed Asset Roll-Forward'!C11</f>
        <v>240000000</v>
      </c>
      <c r="E13">
        <f>D16</f>
        <v>246000000</v>
      </c>
      <c r="F13">
        <f>E16</f>
        <v>249000000</v>
      </c>
      <c r="G13">
        <f>F16</f>
        <v>228000000</v>
      </c>
      <c r="H13">
        <f t="shared" ref="H13:M13" si="0">G16</f>
        <v>206100000</v>
      </c>
      <c r="I13">
        <f t="shared" si="0"/>
        <v>183300000</v>
      </c>
      <c r="J13">
        <f t="shared" si="0"/>
        <v>159600000</v>
      </c>
      <c r="K13">
        <f t="shared" si="0"/>
        <v>135000000</v>
      </c>
      <c r="L13">
        <f t="shared" si="0"/>
        <v>109500000</v>
      </c>
      <c r="M13">
        <f t="shared" si="0"/>
        <v>83100000</v>
      </c>
    </row>
    <row r="14" spans="1:13" x14ac:dyDescent="0.3">
      <c r="A14" t="s">
        <v>47</v>
      </c>
      <c r="D14">
        <f>CHOOSE('Model Assumptions'!$B$3,'Fixed Asset Roll-Forward'!$B4,'Fixed Asset Roll-Forward'!$B5,'Fixed Asset Roll-Forward'!$B6)*'Fixed Asset Roll-Forward'!D11</f>
        <v>30000000</v>
      </c>
      <c r="E14">
        <f>CHOOSE('Model Assumptions'!$B$3,'Fixed Asset Roll-Forward'!$B4,'Fixed Asset Roll-Forward'!$B5,'Fixed Asset Roll-Forward'!$B6)*'Fixed Asset Roll-Forward'!E11</f>
        <v>30000000</v>
      </c>
      <c r="F14">
        <f>CHOOSE('Model Assumptions'!$B$3,'Fixed Asset Roll-Forward'!$B4,'Fixed Asset Roll-Forward'!$B5,'Fixed Asset Roll-Forward'!$B6)*'Fixed Asset Roll-Forward'!F11</f>
        <v>9000000</v>
      </c>
      <c r="G14">
        <f>CHOOSE('Model Assumptions'!$B$3,'Fixed Asset Roll-Forward'!$B4,'Fixed Asset Roll-Forward'!$B5,'Fixed Asset Roll-Forward'!$B6)*'Fixed Asset Roll-Forward'!G11</f>
        <v>9000000</v>
      </c>
      <c r="H14">
        <f>CHOOSE('Model Assumptions'!$B$3,'Fixed Asset Roll-Forward'!$B4,'Fixed Asset Roll-Forward'!$B5,'Fixed Asset Roll-Forward'!$B6)*'Fixed Asset Roll-Forward'!H11</f>
        <v>9000000</v>
      </c>
      <c r="I14">
        <f>CHOOSE('Model Assumptions'!$B$3,'Fixed Asset Roll-Forward'!$B4,'Fixed Asset Roll-Forward'!$B5,'Fixed Asset Roll-Forward'!$B6)*'Fixed Asset Roll-Forward'!I11</f>
        <v>9000000</v>
      </c>
      <c r="J14">
        <f>CHOOSE('Model Assumptions'!$B$3,'Fixed Asset Roll-Forward'!$B4,'Fixed Asset Roll-Forward'!$B5,'Fixed Asset Roll-Forward'!$B6)*'Fixed Asset Roll-Forward'!J11</f>
        <v>9000000</v>
      </c>
      <c r="K14">
        <f>CHOOSE('Model Assumptions'!$B$3,'Fixed Asset Roll-Forward'!$B4,'Fixed Asset Roll-Forward'!$B5,'Fixed Asset Roll-Forward'!$B6)*'Fixed Asset Roll-Forward'!K11</f>
        <v>9000000</v>
      </c>
      <c r="L14">
        <f>CHOOSE('Model Assumptions'!$B$3,'Fixed Asset Roll-Forward'!$B4,'Fixed Asset Roll-Forward'!$B5,'Fixed Asset Roll-Forward'!$B6)*'Fixed Asset Roll-Forward'!L11</f>
        <v>9000000</v>
      </c>
      <c r="M14">
        <f>CHOOSE('Model Assumptions'!$B$3,'Fixed Asset Roll-Forward'!$B4,'Fixed Asset Roll-Forward'!$B5,'Fixed Asset Roll-Forward'!$B6)*'Fixed Asset Roll-Forward'!M11</f>
        <v>9000000</v>
      </c>
    </row>
    <row r="15" spans="1:13" x14ac:dyDescent="0.3">
      <c r="A15" t="s">
        <v>48</v>
      </c>
      <c r="D15">
        <f>D29</f>
        <v>-24000000</v>
      </c>
      <c r="E15">
        <f>E29</f>
        <v>-27000000</v>
      </c>
      <c r="F15">
        <f>F29</f>
        <v>-30000000</v>
      </c>
      <c r="G15">
        <f>G29</f>
        <v>-30900000</v>
      </c>
      <c r="H15">
        <f>H29</f>
        <v>-31800000</v>
      </c>
      <c r="I15">
        <f t="shared" ref="I15:M15" si="1">I29</f>
        <v>-32700000</v>
      </c>
      <c r="J15">
        <f t="shared" si="1"/>
        <v>-33600000</v>
      </c>
      <c r="K15">
        <f t="shared" si="1"/>
        <v>-34500000</v>
      </c>
      <c r="L15">
        <f t="shared" si="1"/>
        <v>-35400000</v>
      </c>
      <c r="M15">
        <f t="shared" si="1"/>
        <v>-36300000</v>
      </c>
    </row>
    <row r="16" spans="1:13" x14ac:dyDescent="0.3">
      <c r="A16" s="19" t="s">
        <v>50</v>
      </c>
      <c r="B16" s="19"/>
      <c r="C16" s="19"/>
      <c r="D16" s="19">
        <f>SUM(D13:D15)</f>
        <v>246000000</v>
      </c>
      <c r="E16" s="19">
        <f t="shared" ref="E16:M16" si="2">SUM(E13:E15)</f>
        <v>249000000</v>
      </c>
      <c r="F16" s="19">
        <f t="shared" si="2"/>
        <v>228000000</v>
      </c>
      <c r="G16" s="19">
        <f t="shared" si="2"/>
        <v>206100000</v>
      </c>
      <c r="H16" s="19">
        <f t="shared" si="2"/>
        <v>183300000</v>
      </c>
      <c r="I16" s="19">
        <f t="shared" si="2"/>
        <v>159600000</v>
      </c>
      <c r="J16" s="19">
        <f t="shared" si="2"/>
        <v>135000000</v>
      </c>
      <c r="K16" s="19">
        <f t="shared" si="2"/>
        <v>109500000</v>
      </c>
      <c r="L16" s="19">
        <f t="shared" si="2"/>
        <v>83100000</v>
      </c>
      <c r="M16" s="19">
        <f t="shared" si="2"/>
        <v>55800000</v>
      </c>
    </row>
    <row r="18" spans="1:13" x14ac:dyDescent="0.3">
      <c r="A18" t="s">
        <v>49</v>
      </c>
    </row>
    <row r="19" spans="1:13" x14ac:dyDescent="0.3">
      <c r="A19" t="s">
        <v>51</v>
      </c>
      <c r="D19">
        <f>-$D$13/10</f>
        <v>-24000000</v>
      </c>
      <c r="E19">
        <f t="shared" ref="E19:M19" si="3">-$D$13/10</f>
        <v>-24000000</v>
      </c>
      <c r="F19">
        <f t="shared" si="3"/>
        <v>-24000000</v>
      </c>
      <c r="G19">
        <f t="shared" si="3"/>
        <v>-24000000</v>
      </c>
      <c r="H19">
        <f t="shared" si="3"/>
        <v>-24000000</v>
      </c>
      <c r="I19">
        <f t="shared" si="3"/>
        <v>-24000000</v>
      </c>
      <c r="J19">
        <f t="shared" si="3"/>
        <v>-24000000</v>
      </c>
      <c r="K19">
        <f t="shared" si="3"/>
        <v>-24000000</v>
      </c>
      <c r="L19">
        <f t="shared" si="3"/>
        <v>-24000000</v>
      </c>
      <c r="M19">
        <f t="shared" si="3"/>
        <v>-24000000</v>
      </c>
    </row>
    <row r="20" spans="1:13" x14ac:dyDescent="0.3">
      <c r="A20" t="s">
        <v>52</v>
      </c>
      <c r="E20">
        <f>-$D$14/10</f>
        <v>-3000000</v>
      </c>
      <c r="F20">
        <f t="shared" ref="F20:M20" si="4">-$D$14/10</f>
        <v>-3000000</v>
      </c>
      <c r="G20">
        <f t="shared" si="4"/>
        <v>-3000000</v>
      </c>
      <c r="H20">
        <f t="shared" si="4"/>
        <v>-3000000</v>
      </c>
      <c r="I20">
        <f t="shared" si="4"/>
        <v>-3000000</v>
      </c>
      <c r="J20">
        <f t="shared" si="4"/>
        <v>-3000000</v>
      </c>
      <c r="K20">
        <f t="shared" si="4"/>
        <v>-3000000</v>
      </c>
      <c r="L20">
        <f t="shared" si="4"/>
        <v>-3000000</v>
      </c>
      <c r="M20">
        <f t="shared" si="4"/>
        <v>-3000000</v>
      </c>
    </row>
    <row r="21" spans="1:13" x14ac:dyDescent="0.3">
      <c r="A21" t="s">
        <v>53</v>
      </c>
      <c r="F21">
        <f>-$E$14/10</f>
        <v>-3000000</v>
      </c>
      <c r="G21">
        <f t="shared" ref="G21:M21" si="5">-$E$14/10</f>
        <v>-3000000</v>
      </c>
      <c r="H21">
        <f t="shared" si="5"/>
        <v>-3000000</v>
      </c>
      <c r="I21">
        <f t="shared" si="5"/>
        <v>-3000000</v>
      </c>
      <c r="J21">
        <f t="shared" si="5"/>
        <v>-3000000</v>
      </c>
      <c r="K21">
        <f t="shared" si="5"/>
        <v>-3000000</v>
      </c>
      <c r="L21">
        <f t="shared" si="5"/>
        <v>-3000000</v>
      </c>
      <c r="M21">
        <f t="shared" si="5"/>
        <v>-3000000</v>
      </c>
    </row>
    <row r="22" spans="1:13" x14ac:dyDescent="0.3">
      <c r="A22" t="s">
        <v>54</v>
      </c>
      <c r="G22">
        <f>-$F$14/10</f>
        <v>-900000</v>
      </c>
      <c r="H22">
        <f t="shared" ref="H22:M26" si="6">-$F$14/10</f>
        <v>-900000</v>
      </c>
      <c r="I22">
        <f t="shared" si="6"/>
        <v>-900000</v>
      </c>
      <c r="J22">
        <f t="shared" si="6"/>
        <v>-900000</v>
      </c>
      <c r="K22">
        <f t="shared" si="6"/>
        <v>-900000</v>
      </c>
      <c r="L22">
        <f t="shared" si="6"/>
        <v>-900000</v>
      </c>
      <c r="M22">
        <f t="shared" si="6"/>
        <v>-900000</v>
      </c>
    </row>
    <row r="23" spans="1:13" x14ac:dyDescent="0.3">
      <c r="A23" t="s">
        <v>55</v>
      </c>
      <c r="H23">
        <f>-$F$14/10</f>
        <v>-900000</v>
      </c>
      <c r="I23">
        <f t="shared" si="6"/>
        <v>-900000</v>
      </c>
      <c r="J23">
        <f t="shared" si="6"/>
        <v>-900000</v>
      </c>
      <c r="K23">
        <f t="shared" si="6"/>
        <v>-900000</v>
      </c>
      <c r="L23">
        <f t="shared" si="6"/>
        <v>-900000</v>
      </c>
      <c r="M23">
        <f t="shared" si="6"/>
        <v>-900000</v>
      </c>
    </row>
    <row r="24" spans="1:13" x14ac:dyDescent="0.3">
      <c r="A24" t="s">
        <v>56</v>
      </c>
      <c r="I24">
        <f>-$F$14/10</f>
        <v>-900000</v>
      </c>
      <c r="J24">
        <f t="shared" si="6"/>
        <v>-900000</v>
      </c>
      <c r="K24">
        <f t="shared" si="6"/>
        <v>-900000</v>
      </c>
      <c r="L24">
        <f t="shared" si="6"/>
        <v>-900000</v>
      </c>
      <c r="M24">
        <f t="shared" si="6"/>
        <v>-900000</v>
      </c>
    </row>
    <row r="25" spans="1:13" x14ac:dyDescent="0.3">
      <c r="A25" t="s">
        <v>57</v>
      </c>
      <c r="J25">
        <f>-$F$14/10</f>
        <v>-900000</v>
      </c>
      <c r="K25">
        <f t="shared" si="6"/>
        <v>-900000</v>
      </c>
      <c r="L25">
        <f t="shared" si="6"/>
        <v>-900000</v>
      </c>
      <c r="M25">
        <f t="shared" si="6"/>
        <v>-900000</v>
      </c>
    </row>
    <row r="26" spans="1:13" x14ac:dyDescent="0.3">
      <c r="A26" t="s">
        <v>58</v>
      </c>
      <c r="K26">
        <f>-$F$14/10</f>
        <v>-900000</v>
      </c>
      <c r="L26">
        <f t="shared" si="6"/>
        <v>-900000</v>
      </c>
      <c r="M26">
        <f t="shared" si="6"/>
        <v>-900000</v>
      </c>
    </row>
    <row r="27" spans="1:13" x14ac:dyDescent="0.3">
      <c r="A27" t="s">
        <v>59</v>
      </c>
      <c r="L27">
        <f>-$F$14/10</f>
        <v>-900000</v>
      </c>
      <c r="M27">
        <f>-$F$14/10</f>
        <v>-900000</v>
      </c>
    </row>
    <row r="28" spans="1:13" x14ac:dyDescent="0.3">
      <c r="A28" t="s">
        <v>60</v>
      </c>
      <c r="M28">
        <f>-$F$14/10</f>
        <v>-900000</v>
      </c>
    </row>
    <row r="29" spans="1:13" x14ac:dyDescent="0.3">
      <c r="A29" s="19" t="s">
        <v>61</v>
      </c>
      <c r="B29" s="19"/>
      <c r="C29" s="19"/>
      <c r="D29" s="19">
        <f>SUM(D19:D28)</f>
        <v>-24000000</v>
      </c>
      <c r="E29" s="19">
        <f t="shared" ref="E29:M29" si="7">SUM(E19:E28)</f>
        <v>-27000000</v>
      </c>
      <c r="F29" s="19">
        <f t="shared" si="7"/>
        <v>-30000000</v>
      </c>
      <c r="G29" s="19">
        <f t="shared" si="7"/>
        <v>-30900000</v>
      </c>
      <c r="H29" s="19">
        <f t="shared" si="7"/>
        <v>-31800000</v>
      </c>
      <c r="I29" s="19">
        <f t="shared" si="7"/>
        <v>-32700000</v>
      </c>
      <c r="J29" s="19">
        <f t="shared" si="7"/>
        <v>-33600000</v>
      </c>
      <c r="K29" s="19">
        <f t="shared" si="7"/>
        <v>-34500000</v>
      </c>
      <c r="L29" s="19">
        <f t="shared" si="7"/>
        <v>-35400000</v>
      </c>
      <c r="M29" s="19">
        <f t="shared" si="7"/>
        <v>-36300000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AF6A5-3945-4D34-9125-0E27A2523F56}">
  <dimension ref="A1:S39"/>
  <sheetViews>
    <sheetView zoomScale="99" workbookViewId="0">
      <selection activeCell="D20" sqref="D20"/>
    </sheetView>
  </sheetViews>
  <sheetFormatPr defaultRowHeight="14.4" x14ac:dyDescent="0.3"/>
  <cols>
    <col min="1" max="1" width="22.5546875" customWidth="1"/>
    <col min="3" max="3" width="8.88671875" customWidth="1"/>
    <col min="4" max="4" width="13.33203125" bestFit="1" customWidth="1"/>
    <col min="5" max="5" width="18.5546875" customWidth="1"/>
    <col min="6" max="6" width="22.77734375" customWidth="1"/>
    <col min="7" max="10" width="13.33203125" bestFit="1" customWidth="1"/>
    <col min="11" max="13" width="12" bestFit="1" customWidth="1"/>
  </cols>
  <sheetData>
    <row r="1" spans="1:13" ht="18" x14ac:dyDescent="0.35">
      <c r="A1" s="32" t="s">
        <v>62</v>
      </c>
    </row>
    <row r="3" spans="1:13" x14ac:dyDescent="0.3">
      <c r="A3" t="s">
        <v>63</v>
      </c>
    </row>
    <row r="4" spans="1:13" x14ac:dyDescent="0.3">
      <c r="A4" t="s">
        <v>64</v>
      </c>
      <c r="B4">
        <f>CHOOSE('Model Assumptions'!B3,'Working capital'!B31,'Working capital'!B32,'Working capital'!B33)</f>
        <v>40</v>
      </c>
    </row>
    <row r="5" spans="1:13" x14ac:dyDescent="0.3">
      <c r="A5" t="s">
        <v>65</v>
      </c>
      <c r="B5">
        <f>CHOOSE('Model Assumptions'!B3,'Working capital'!B26,'Working capital'!B27,'Working capital'!B28)</f>
        <v>35</v>
      </c>
    </row>
    <row r="6" spans="1:13" x14ac:dyDescent="0.3">
      <c r="A6" t="s">
        <v>66</v>
      </c>
      <c r="B6">
        <f>CHOOSE('Model Assumptions'!B3,'Working capital'!B37,'Working capital'!B38,'Working capital'!B39)</f>
        <v>35</v>
      </c>
    </row>
    <row r="7" spans="1:13" x14ac:dyDescent="0.3">
      <c r="A7" s="15" t="s">
        <v>67</v>
      </c>
      <c r="B7" s="15">
        <f>B4+B5-B6</f>
        <v>40</v>
      </c>
    </row>
    <row r="9" spans="1:13" x14ac:dyDescent="0.3">
      <c r="A9" t="s">
        <v>68</v>
      </c>
    </row>
    <row r="10" spans="1:13" x14ac:dyDescent="0.3">
      <c r="A10" t="s">
        <v>64</v>
      </c>
      <c r="B10">
        <f>'Model Assumptions'!B23</f>
        <v>35</v>
      </c>
    </row>
    <row r="11" spans="1:13" x14ac:dyDescent="0.3">
      <c r="A11" t="s">
        <v>65</v>
      </c>
      <c r="B11">
        <f>'Model Assumptions'!B22</f>
        <v>35</v>
      </c>
    </row>
    <row r="12" spans="1:13" x14ac:dyDescent="0.3">
      <c r="A12" t="s">
        <v>66</v>
      </c>
      <c r="B12">
        <f>'Model Assumptions'!B24</f>
        <v>25</v>
      </c>
    </row>
    <row r="13" spans="1:13" x14ac:dyDescent="0.3">
      <c r="A13" s="15" t="s">
        <v>67</v>
      </c>
      <c r="B13" s="15">
        <f>B10+B11-B12</f>
        <v>45</v>
      </c>
    </row>
    <row r="16" spans="1:13" x14ac:dyDescent="0.3">
      <c r="A16" t="s">
        <v>69</v>
      </c>
      <c r="D16">
        <v>1</v>
      </c>
      <c r="E16">
        <v>2</v>
      </c>
      <c r="F16">
        <v>3</v>
      </c>
      <c r="G16">
        <v>4</v>
      </c>
      <c r="H16">
        <v>5</v>
      </c>
      <c r="I16">
        <v>6</v>
      </c>
      <c r="J16">
        <v>7</v>
      </c>
      <c r="K16">
        <v>8</v>
      </c>
      <c r="L16">
        <v>9</v>
      </c>
      <c r="M16">
        <v>10</v>
      </c>
    </row>
    <row r="18" spans="1:19" x14ac:dyDescent="0.3">
      <c r="A18" t="s">
        <v>70</v>
      </c>
      <c r="D18">
        <f>'Saving Forecast '!C11*'Saving Forecast '!C27</f>
        <v>50000000</v>
      </c>
      <c r="E18">
        <f>'Saving Forecast '!D11*'Saving Forecast '!D27</f>
        <v>101200000</v>
      </c>
      <c r="F18">
        <f>'Saving Forecast '!E11*'Saving Forecast '!E27</f>
        <v>204463999.99999994</v>
      </c>
      <c r="G18">
        <f>'Saving Forecast '!F11*'Saving Forecast '!F27</f>
        <v>309221759.99999976</v>
      </c>
      <c r="H18">
        <f>'Saving Forecast '!G11*'Saving Forecast '!G27</f>
        <v>388881581.99999964</v>
      </c>
      <c r="I18">
        <f>'Saving Forecast '!H11*'Saving Forecast '!H27</f>
        <v>442380079.67599952</v>
      </c>
      <c r="J18">
        <f>'Saving Forecast '!I11*'Saving Forecast '!I27</f>
        <v>468938901.79223943</v>
      </c>
      <c r="K18">
        <f>'Saving Forecast '!J11*'Saving Forecast '!J27</f>
        <v>494136346.17684472</v>
      </c>
      <c r="L18">
        <f>'Saving Forecast '!K11*'Saving Forecast '!K27</f>
        <v>491702637.31089282</v>
      </c>
      <c r="M18">
        <f>'Saving Forecast '!L11*'Saving Forecast '!L27</f>
        <v>487518811.43115568</v>
      </c>
    </row>
    <row r="19" spans="1:19" x14ac:dyDescent="0.3">
      <c r="A19" t="s">
        <v>71</v>
      </c>
      <c r="D19">
        <f>B13-B7</f>
        <v>5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</row>
    <row r="20" spans="1:19" x14ac:dyDescent="0.3">
      <c r="A20" t="s">
        <v>72</v>
      </c>
      <c r="D20">
        <f>-D18*D19/360</f>
        <v>-694444.4444444445</v>
      </c>
      <c r="E20">
        <f t="shared" ref="E20:M20" si="0">-E18*E19/360</f>
        <v>-1405555.5555555555</v>
      </c>
      <c r="F20">
        <f t="shared" si="0"/>
        <v>-2839777.7777777771</v>
      </c>
      <c r="G20">
        <f t="shared" si="0"/>
        <v>-4294746.6666666633</v>
      </c>
      <c r="H20">
        <f t="shared" si="0"/>
        <v>-5401133.0833333284</v>
      </c>
      <c r="I20">
        <f t="shared" si="0"/>
        <v>-6144167.7732777717</v>
      </c>
      <c r="J20">
        <f t="shared" si="0"/>
        <v>-6513040.3026699917</v>
      </c>
      <c r="K20">
        <f t="shared" si="0"/>
        <v>-6863004.8080117321</v>
      </c>
      <c r="L20">
        <f t="shared" si="0"/>
        <v>-6829203.295984623</v>
      </c>
      <c r="M20">
        <f t="shared" si="0"/>
        <v>-6771094.6032104958</v>
      </c>
    </row>
    <row r="21" spans="1:19" x14ac:dyDescent="0.3">
      <c r="A21" s="15" t="s">
        <v>73</v>
      </c>
      <c r="B21" s="15"/>
      <c r="C21" s="15"/>
      <c r="D21" s="15">
        <f>D20</f>
        <v>-694444.4444444445</v>
      </c>
      <c r="E21" s="15">
        <f>E20-D20</f>
        <v>-711111.11111111101</v>
      </c>
      <c r="F21" s="15">
        <f>F20-E20</f>
        <v>-1434222.2222222215</v>
      </c>
      <c r="G21" s="15">
        <f t="shared" ref="G21:M21" si="1">G20-F20</f>
        <v>-1454968.8888888862</v>
      </c>
      <c r="H21" s="15">
        <f t="shared" si="1"/>
        <v>-1106386.4166666651</v>
      </c>
      <c r="I21" s="15">
        <f t="shared" si="1"/>
        <v>-743034.68994444329</v>
      </c>
      <c r="J21" s="15">
        <f t="shared" si="1"/>
        <v>-368872.52939222008</v>
      </c>
      <c r="K21" s="15">
        <f t="shared" si="1"/>
        <v>-349964.50534174033</v>
      </c>
      <c r="L21" s="15">
        <f t="shared" si="1"/>
        <v>33801.512027109042</v>
      </c>
      <c r="M21" s="15">
        <f t="shared" si="1"/>
        <v>58108.692774127237</v>
      </c>
      <c r="N21" s="15"/>
      <c r="O21" s="15"/>
      <c r="P21" s="15"/>
      <c r="Q21" s="15"/>
      <c r="R21" s="15"/>
      <c r="S21" s="15"/>
    </row>
    <row r="25" spans="1:19" x14ac:dyDescent="0.3">
      <c r="A25" t="s">
        <v>77</v>
      </c>
    </row>
    <row r="26" spans="1:19" x14ac:dyDescent="0.3">
      <c r="A26" t="s">
        <v>74</v>
      </c>
      <c r="B26">
        <v>30</v>
      </c>
    </row>
    <row r="27" spans="1:19" x14ac:dyDescent="0.3">
      <c r="A27" t="s">
        <v>75</v>
      </c>
      <c r="B27">
        <v>35</v>
      </c>
    </row>
    <row r="28" spans="1:19" x14ac:dyDescent="0.3">
      <c r="A28" t="s">
        <v>76</v>
      </c>
      <c r="B28">
        <v>40</v>
      </c>
    </row>
    <row r="30" spans="1:19" x14ac:dyDescent="0.3">
      <c r="A30" t="s">
        <v>78</v>
      </c>
    </row>
    <row r="31" spans="1:19" x14ac:dyDescent="0.3">
      <c r="A31" t="s">
        <v>74</v>
      </c>
      <c r="B31">
        <v>35</v>
      </c>
    </row>
    <row r="32" spans="1:19" x14ac:dyDescent="0.3">
      <c r="A32" t="s">
        <v>75</v>
      </c>
      <c r="B32">
        <v>40</v>
      </c>
    </row>
    <row r="33" spans="1:2" x14ac:dyDescent="0.3">
      <c r="A33" t="s">
        <v>76</v>
      </c>
      <c r="B33">
        <v>45</v>
      </c>
    </row>
    <row r="36" spans="1:2" x14ac:dyDescent="0.3">
      <c r="A36" t="s">
        <v>79</v>
      </c>
    </row>
    <row r="37" spans="1:2" x14ac:dyDescent="0.3">
      <c r="A37" t="s">
        <v>74</v>
      </c>
      <c r="B37">
        <v>30</v>
      </c>
    </row>
    <row r="38" spans="1:2" x14ac:dyDescent="0.3">
      <c r="A38" t="s">
        <v>75</v>
      </c>
      <c r="B38">
        <v>35</v>
      </c>
    </row>
    <row r="39" spans="1:2" x14ac:dyDescent="0.3">
      <c r="A39" t="s">
        <v>76</v>
      </c>
      <c r="B39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0466B-7DB4-4163-88D0-03C7FDB9D894}">
  <dimension ref="A1:M28"/>
  <sheetViews>
    <sheetView topLeftCell="A13" zoomScale="104" workbookViewId="0">
      <selection activeCell="D28" sqref="D28"/>
    </sheetView>
  </sheetViews>
  <sheetFormatPr defaultRowHeight="14.4" x14ac:dyDescent="0.3"/>
  <cols>
    <col min="1" max="1" width="19" bestFit="1" customWidth="1"/>
    <col min="2" max="3" width="10.5546875" bestFit="1" customWidth="1"/>
    <col min="4" max="4" width="11.21875" bestFit="1" customWidth="1"/>
    <col min="5" max="10" width="12.6640625" bestFit="1" customWidth="1"/>
    <col min="11" max="13" width="12.109375" bestFit="1" customWidth="1"/>
  </cols>
  <sheetData>
    <row r="1" spans="1:13" ht="18" x14ac:dyDescent="0.35">
      <c r="A1" s="32" t="s">
        <v>80</v>
      </c>
    </row>
    <row r="3" spans="1:13" x14ac:dyDescent="0.3">
      <c r="A3" t="s">
        <v>81</v>
      </c>
      <c r="B3">
        <f>'Fixed Asset Roll-Forward'!D13</f>
        <v>240000000</v>
      </c>
    </row>
    <row r="5" spans="1:13" x14ac:dyDescent="0.3">
      <c r="A5" t="s">
        <v>82</v>
      </c>
    </row>
    <row r="6" spans="1:13" x14ac:dyDescent="0.3">
      <c r="A6" s="21" t="s">
        <v>83</v>
      </c>
      <c r="B6" s="11">
        <v>200000000</v>
      </c>
    </row>
    <row r="7" spans="1:13" x14ac:dyDescent="0.3">
      <c r="A7" s="21" t="s">
        <v>84</v>
      </c>
      <c r="B7" s="3">
        <v>0.09</v>
      </c>
    </row>
    <row r="8" spans="1:13" x14ac:dyDescent="0.3">
      <c r="A8" s="21" t="s">
        <v>85</v>
      </c>
      <c r="B8">
        <v>10</v>
      </c>
    </row>
    <row r="11" spans="1:13" x14ac:dyDescent="0.3">
      <c r="A11" s="21" t="s">
        <v>86</v>
      </c>
      <c r="C11">
        <v>0</v>
      </c>
      <c r="D11">
        <v>1</v>
      </c>
      <c r="E11">
        <v>2</v>
      </c>
      <c r="F11">
        <v>3</v>
      </c>
      <c r="G11">
        <v>4</v>
      </c>
      <c r="H11">
        <v>5</v>
      </c>
      <c r="I11">
        <v>6</v>
      </c>
      <c r="J11">
        <v>7</v>
      </c>
      <c r="K11">
        <v>8</v>
      </c>
      <c r="L11">
        <v>9</v>
      </c>
      <c r="M11">
        <v>10</v>
      </c>
    </row>
    <row r="12" spans="1:13" x14ac:dyDescent="0.3">
      <c r="A12" s="21" t="s">
        <v>87</v>
      </c>
      <c r="C12" s="11">
        <f>B6</f>
        <v>200000000</v>
      </c>
      <c r="D12" s="11">
        <f>C15</f>
        <v>200000000</v>
      </c>
      <c r="E12" s="11">
        <f t="shared" ref="E12:M12" si="0">D15</f>
        <v>200000000</v>
      </c>
      <c r="F12" s="11">
        <f t="shared" si="0"/>
        <v>190000000</v>
      </c>
      <c r="G12" s="11">
        <f t="shared" si="0"/>
        <v>170000000</v>
      </c>
      <c r="H12" s="11">
        <f t="shared" si="0"/>
        <v>150000000</v>
      </c>
      <c r="I12" s="11">
        <f t="shared" si="0"/>
        <v>130000000</v>
      </c>
      <c r="J12" s="11">
        <f t="shared" si="0"/>
        <v>110000000</v>
      </c>
      <c r="K12" s="11">
        <f t="shared" si="0"/>
        <v>90000000</v>
      </c>
      <c r="L12" s="11">
        <f t="shared" si="0"/>
        <v>70000000</v>
      </c>
      <c r="M12" s="11">
        <f t="shared" si="0"/>
        <v>50000000</v>
      </c>
    </row>
    <row r="13" spans="1:13" x14ac:dyDescent="0.3">
      <c r="A13" s="21" t="s">
        <v>88</v>
      </c>
      <c r="C13">
        <f>-$B$6*C14</f>
        <v>0</v>
      </c>
      <c r="D13">
        <f t="shared" ref="D13" si="1">-$B$6*D14</f>
        <v>0</v>
      </c>
      <c r="E13">
        <f t="shared" ref="E13:M13" si="2">-$B$6*E14</f>
        <v>-10000000</v>
      </c>
      <c r="F13">
        <f t="shared" si="2"/>
        <v>-20000000</v>
      </c>
      <c r="G13">
        <f t="shared" si="2"/>
        <v>-20000000</v>
      </c>
      <c r="H13">
        <f t="shared" si="2"/>
        <v>-20000000</v>
      </c>
      <c r="I13">
        <f t="shared" si="2"/>
        <v>-20000000</v>
      </c>
      <c r="J13">
        <f t="shared" si="2"/>
        <v>-20000000</v>
      </c>
      <c r="K13">
        <f t="shared" si="2"/>
        <v>-20000000</v>
      </c>
      <c r="L13">
        <f t="shared" si="2"/>
        <v>-20000000</v>
      </c>
      <c r="M13">
        <f t="shared" si="2"/>
        <v>-20000000</v>
      </c>
    </row>
    <row r="14" spans="1:13" x14ac:dyDescent="0.3">
      <c r="A14" s="21" t="s">
        <v>89</v>
      </c>
      <c r="C14" s="3">
        <v>0</v>
      </c>
      <c r="D14" s="3">
        <v>0</v>
      </c>
      <c r="E14" s="3">
        <v>0.05</v>
      </c>
      <c r="F14" s="3">
        <v>0.1</v>
      </c>
      <c r="G14" s="3">
        <v>0.1</v>
      </c>
      <c r="H14" s="3">
        <v>0.1</v>
      </c>
      <c r="I14" s="3">
        <v>0.1</v>
      </c>
      <c r="J14" s="3">
        <v>0.1</v>
      </c>
      <c r="K14" s="3">
        <v>0.1</v>
      </c>
      <c r="L14" s="3">
        <v>0.1</v>
      </c>
      <c r="M14" s="3">
        <v>0.1</v>
      </c>
    </row>
    <row r="15" spans="1:13" x14ac:dyDescent="0.3">
      <c r="A15" s="21" t="s">
        <v>90</v>
      </c>
      <c r="C15" s="11">
        <f>SUM(C12:C13)</f>
        <v>200000000</v>
      </c>
      <c r="D15" s="11">
        <f t="shared" ref="D15:M15" si="3">SUM(D12:D13)</f>
        <v>200000000</v>
      </c>
      <c r="E15" s="11">
        <f t="shared" si="3"/>
        <v>190000000</v>
      </c>
      <c r="F15" s="11">
        <f t="shared" si="3"/>
        <v>170000000</v>
      </c>
      <c r="G15" s="11">
        <f t="shared" si="3"/>
        <v>150000000</v>
      </c>
      <c r="H15" s="11">
        <f t="shared" si="3"/>
        <v>130000000</v>
      </c>
      <c r="I15" s="11">
        <f t="shared" si="3"/>
        <v>110000000</v>
      </c>
      <c r="J15" s="11">
        <f t="shared" si="3"/>
        <v>90000000</v>
      </c>
      <c r="K15" s="11">
        <f t="shared" si="3"/>
        <v>70000000</v>
      </c>
      <c r="L15" s="11">
        <f t="shared" si="3"/>
        <v>50000000</v>
      </c>
      <c r="M15" s="11">
        <f t="shared" si="3"/>
        <v>30000000</v>
      </c>
    </row>
    <row r="19" spans="1:13" x14ac:dyDescent="0.3">
      <c r="A19" t="s">
        <v>91</v>
      </c>
      <c r="C19">
        <f>IF(C11=0,0,-C12*$B$7)</f>
        <v>0</v>
      </c>
      <c r="D19">
        <f t="shared" ref="D19:M19" si="4">IF(D11=0,0,-D12*$B$7)</f>
        <v>-18000000</v>
      </c>
      <c r="E19">
        <f t="shared" si="4"/>
        <v>-18000000</v>
      </c>
      <c r="F19">
        <f t="shared" si="4"/>
        <v>-17100000</v>
      </c>
      <c r="G19">
        <f t="shared" si="4"/>
        <v>-15300000</v>
      </c>
      <c r="H19">
        <f t="shared" si="4"/>
        <v>-13500000</v>
      </c>
      <c r="I19">
        <f t="shared" si="4"/>
        <v>-11700000</v>
      </c>
      <c r="J19">
        <f t="shared" si="4"/>
        <v>-9900000</v>
      </c>
      <c r="K19">
        <f t="shared" si="4"/>
        <v>-8100000</v>
      </c>
      <c r="L19">
        <f t="shared" si="4"/>
        <v>-6300000</v>
      </c>
      <c r="M19">
        <f t="shared" si="4"/>
        <v>-4500000</v>
      </c>
    </row>
    <row r="21" spans="1:13" x14ac:dyDescent="0.3">
      <c r="A21" t="s">
        <v>92</v>
      </c>
      <c r="C21">
        <v>0</v>
      </c>
      <c r="D21">
        <f>'Saving Forecast '!C11</f>
        <v>20000</v>
      </c>
      <c r="E21">
        <f>'Saving Forecast '!D11</f>
        <v>40000</v>
      </c>
      <c r="F21">
        <f>'Saving Forecast '!E11</f>
        <v>80000</v>
      </c>
      <c r="G21">
        <f>'Saving Forecast '!F11</f>
        <v>120000</v>
      </c>
      <c r="H21">
        <f>'Saving Forecast '!G11</f>
        <v>150000</v>
      </c>
      <c r="I21">
        <f>'Saving Forecast '!H11</f>
        <v>170000</v>
      </c>
      <c r="J21">
        <f>'Saving Forecast '!I11</f>
        <v>180000</v>
      </c>
      <c r="K21">
        <f>'Saving Forecast '!J11</f>
        <v>190000</v>
      </c>
      <c r="L21">
        <f>'Saving Forecast '!K11</f>
        <v>190000</v>
      </c>
      <c r="M21">
        <f>'Saving Forecast '!L11</f>
        <v>190000</v>
      </c>
    </row>
    <row r="22" spans="1:13" x14ac:dyDescent="0.3">
      <c r="A22" t="s">
        <v>93</v>
      </c>
      <c r="C22" t="str">
        <f>IF(C21&lt;100000,"yes","no")</f>
        <v>yes</v>
      </c>
      <c r="D22" t="str">
        <f t="shared" ref="D22:M22" si="5">IF(D21&lt;100000,"yes","no")</f>
        <v>yes</v>
      </c>
      <c r="E22" t="str">
        <f t="shared" si="5"/>
        <v>yes</v>
      </c>
      <c r="F22" t="str">
        <f t="shared" si="5"/>
        <v>yes</v>
      </c>
      <c r="G22" t="str">
        <f t="shared" si="5"/>
        <v>no</v>
      </c>
      <c r="H22" t="str">
        <f t="shared" si="5"/>
        <v>no</v>
      </c>
      <c r="I22" t="str">
        <f t="shared" si="5"/>
        <v>no</v>
      </c>
      <c r="J22" t="str">
        <f t="shared" si="5"/>
        <v>no</v>
      </c>
      <c r="K22" t="str">
        <f t="shared" si="5"/>
        <v>no</v>
      </c>
      <c r="L22" t="str">
        <f t="shared" si="5"/>
        <v>no</v>
      </c>
      <c r="M22" t="str">
        <f t="shared" si="5"/>
        <v>no</v>
      </c>
    </row>
    <row r="24" spans="1:13" x14ac:dyDescent="0.3">
      <c r="A24" t="s">
        <v>94</v>
      </c>
      <c r="C24">
        <f>-IF(C11=0,0,IF(C22="yes",1000000,0))</f>
        <v>0</v>
      </c>
      <c r="D24">
        <f t="shared" ref="D24:M24" si="6">-IF(D11=0,0,IF(D22="yes",1000000,0))</f>
        <v>-1000000</v>
      </c>
      <c r="E24">
        <f t="shared" si="6"/>
        <v>-1000000</v>
      </c>
      <c r="F24">
        <f t="shared" si="6"/>
        <v>-1000000</v>
      </c>
      <c r="G24">
        <f t="shared" si="6"/>
        <v>0</v>
      </c>
      <c r="H24">
        <f t="shared" si="6"/>
        <v>0</v>
      </c>
      <c r="I24">
        <f t="shared" si="6"/>
        <v>0</v>
      </c>
      <c r="J24">
        <f t="shared" si="6"/>
        <v>0</v>
      </c>
      <c r="K24">
        <f t="shared" si="6"/>
        <v>0</v>
      </c>
      <c r="L24">
        <f t="shared" si="6"/>
        <v>0</v>
      </c>
      <c r="M24">
        <f t="shared" si="6"/>
        <v>0</v>
      </c>
    </row>
    <row r="27" spans="1:13" x14ac:dyDescent="0.3">
      <c r="A27" t="s">
        <v>96</v>
      </c>
      <c r="D27">
        <f>'Free Cash Flow Projection'!C13</f>
        <v>-1444444.4444444478</v>
      </c>
      <c r="E27">
        <f>'Free Cash Flow Projection'!D13</f>
        <v>27688888.888888896</v>
      </c>
      <c r="F27">
        <f>'Free Cash Flow Projection'!E13</f>
        <v>116838777.77777773</v>
      </c>
      <c r="G27">
        <f>'Free Cash Flow Projection'!F13</f>
        <v>197711351.11111093</v>
      </c>
      <c r="H27">
        <f>'Free Cash Flow Projection'!G13</f>
        <v>259379800.08333308</v>
      </c>
      <c r="I27">
        <f>'Free Cash Flow Projection'!H13</f>
        <v>301442025.06705517</v>
      </c>
      <c r="J27">
        <f>'Free Cash Flow Projection'!I13</f>
        <v>323310303.81478733</v>
      </c>
      <c r="K27">
        <f>'Free Cash Flow Projection'!J13</f>
        <v>343802295.1272918</v>
      </c>
      <c r="L27">
        <f>'Free Cash Flow Projection'!K13</f>
        <v>343935779.4951967</v>
      </c>
      <c r="M27">
        <f>'Free Cash Flow Projection'!L13</f>
        <v>342397217.26614088</v>
      </c>
    </row>
    <row r="28" spans="1:13" x14ac:dyDescent="0.3">
      <c r="A28" s="15" t="s">
        <v>95</v>
      </c>
      <c r="B28" s="15"/>
      <c r="C28" s="18"/>
      <c r="D28" s="18">
        <f>D15+D24+D27</f>
        <v>197555555.55555555</v>
      </c>
      <c r="E28" s="15">
        <f>IF(E27&gt;0,D28,E27-D28)</f>
        <v>197555555.55555555</v>
      </c>
      <c r="F28" s="15">
        <f t="shared" ref="F28:M28" si="7">IF(F27&gt;0,E28,F27-E28)</f>
        <v>197555555.55555555</v>
      </c>
      <c r="G28" s="15">
        <f t="shared" si="7"/>
        <v>197555555.55555555</v>
      </c>
      <c r="H28" s="15">
        <f t="shared" si="7"/>
        <v>197555555.55555555</v>
      </c>
      <c r="I28" s="15">
        <f t="shared" si="7"/>
        <v>197555555.55555555</v>
      </c>
      <c r="J28" s="15">
        <f t="shared" si="7"/>
        <v>197555555.55555555</v>
      </c>
      <c r="K28" s="15">
        <f t="shared" si="7"/>
        <v>197555555.55555555</v>
      </c>
      <c r="L28" s="15">
        <f t="shared" si="7"/>
        <v>197555555.55555555</v>
      </c>
      <c r="M28" s="15">
        <f t="shared" si="7"/>
        <v>197555555.55555555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8A30-4F46-460B-8B26-031AF5C511AC}">
  <dimension ref="A1:M19"/>
  <sheetViews>
    <sheetView workbookViewId="0">
      <selection activeCell="C10" sqref="C10"/>
    </sheetView>
  </sheetViews>
  <sheetFormatPr defaultRowHeight="14.4" x14ac:dyDescent="0.3"/>
  <cols>
    <col min="1" max="1" width="29" bestFit="1" customWidth="1"/>
    <col min="3" max="3" width="9.6640625" bestFit="1" customWidth="1"/>
    <col min="4" max="7" width="10" bestFit="1" customWidth="1"/>
    <col min="8" max="12" width="12.6640625" bestFit="1" customWidth="1"/>
  </cols>
  <sheetData>
    <row r="1" spans="1:13" ht="18" x14ac:dyDescent="0.35">
      <c r="A1" s="32" t="s">
        <v>167</v>
      </c>
    </row>
    <row r="2" spans="1:13" x14ac:dyDescent="0.3"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</row>
    <row r="3" spans="1:13" x14ac:dyDescent="0.3">
      <c r="A3" t="s">
        <v>97</v>
      </c>
      <c r="C3">
        <f>'Saving Forecast '!C34</f>
        <v>50000000</v>
      </c>
      <c r="D3">
        <f>'Saving Forecast '!D34</f>
        <v>101200000</v>
      </c>
      <c r="E3">
        <f>'Saving Forecast '!E34</f>
        <v>204463999.99999994</v>
      </c>
      <c r="F3">
        <f>'Saving Forecast '!F34</f>
        <v>309221759.99999976</v>
      </c>
      <c r="G3" s="11">
        <f>'Saving Forecast '!G34</f>
        <v>388881581.99999964</v>
      </c>
      <c r="H3" s="11">
        <f>'Saving Forecast '!H34</f>
        <v>442380079.67599952</v>
      </c>
      <c r="I3" s="11">
        <f>'Saving Forecast '!I34</f>
        <v>468938901.79223943</v>
      </c>
      <c r="J3" s="11">
        <f>'Saving Forecast '!J34</f>
        <v>494136346.17684472</v>
      </c>
      <c r="K3" s="11">
        <f>'Saving Forecast '!K34</f>
        <v>491702637.31089282</v>
      </c>
      <c r="L3" s="11">
        <f>'Saving Forecast '!L34</f>
        <v>487518811.43115568</v>
      </c>
    </row>
    <row r="4" spans="1:13" x14ac:dyDescent="0.3">
      <c r="A4" t="s">
        <v>48</v>
      </c>
      <c r="C4">
        <f>'Fixed Asset Roll-Forward'!D15</f>
        <v>-24000000</v>
      </c>
      <c r="D4">
        <f>'Fixed Asset Roll-Forward'!E15</f>
        <v>-27000000</v>
      </c>
      <c r="E4">
        <f>'Fixed Asset Roll-Forward'!F15</f>
        <v>-30000000</v>
      </c>
      <c r="F4">
        <f>'Fixed Asset Roll-Forward'!G15</f>
        <v>-30900000</v>
      </c>
      <c r="G4">
        <f>'Fixed Asset Roll-Forward'!H15</f>
        <v>-31800000</v>
      </c>
      <c r="H4">
        <f>'Fixed Asset Roll-Forward'!I15</f>
        <v>-32700000</v>
      </c>
      <c r="I4">
        <f>'Fixed Asset Roll-Forward'!J15</f>
        <v>-33600000</v>
      </c>
      <c r="J4">
        <f>'Fixed Asset Roll-Forward'!K15</f>
        <v>-34500000</v>
      </c>
      <c r="K4">
        <f>'Fixed Asset Roll-Forward'!L15</f>
        <v>-35400000</v>
      </c>
      <c r="L4">
        <f>'Fixed Asset Roll-Forward'!M15</f>
        <v>-36300000</v>
      </c>
    </row>
    <row r="5" spans="1:13" x14ac:dyDescent="0.3">
      <c r="A5" s="15" t="s">
        <v>98</v>
      </c>
      <c r="B5" s="15"/>
      <c r="C5" s="15">
        <f>SUM(C3:C4)</f>
        <v>26000000</v>
      </c>
      <c r="D5" s="15">
        <f t="shared" ref="D5:L5" si="0">SUM(D3:D4)</f>
        <v>74200000</v>
      </c>
      <c r="E5" s="15">
        <f t="shared" si="0"/>
        <v>174463999.99999994</v>
      </c>
      <c r="F5" s="15">
        <f t="shared" si="0"/>
        <v>278321759.99999976</v>
      </c>
      <c r="G5" s="15">
        <f t="shared" si="0"/>
        <v>357081581.99999964</v>
      </c>
      <c r="H5" s="15">
        <f t="shared" si="0"/>
        <v>409680079.67599952</v>
      </c>
      <c r="I5" s="15">
        <f t="shared" si="0"/>
        <v>435338901.79223943</v>
      </c>
      <c r="J5" s="15">
        <f t="shared" si="0"/>
        <v>459636346.17684472</v>
      </c>
      <c r="K5" s="15">
        <f t="shared" si="0"/>
        <v>456302637.31089282</v>
      </c>
      <c r="L5" s="15">
        <f t="shared" si="0"/>
        <v>451218811.43115568</v>
      </c>
    </row>
    <row r="6" spans="1:13" x14ac:dyDescent="0.3">
      <c r="A6" t="s">
        <v>99</v>
      </c>
      <c r="C6">
        <f>'Financing '!D19</f>
        <v>-18000000</v>
      </c>
      <c r="D6">
        <f>'Financing '!E19</f>
        <v>-18000000</v>
      </c>
      <c r="E6">
        <f>'Financing '!F19</f>
        <v>-17100000</v>
      </c>
      <c r="F6">
        <f>'Financing '!G19</f>
        <v>-15300000</v>
      </c>
      <c r="G6">
        <f>'Financing '!H19</f>
        <v>-13500000</v>
      </c>
      <c r="H6">
        <f>'Financing '!I19</f>
        <v>-11700000</v>
      </c>
      <c r="I6">
        <f>'Financing '!J19</f>
        <v>-9900000</v>
      </c>
      <c r="J6">
        <f>'Financing '!K19</f>
        <v>-8100000</v>
      </c>
      <c r="K6">
        <f>'Financing '!L19</f>
        <v>-6300000</v>
      </c>
      <c r="L6">
        <f>'Financing '!M19</f>
        <v>-4500000</v>
      </c>
    </row>
    <row r="7" spans="1:13" x14ac:dyDescent="0.3">
      <c r="A7" t="s">
        <v>100</v>
      </c>
      <c r="C7">
        <f>'Financing '!D24</f>
        <v>-1000000</v>
      </c>
      <c r="D7">
        <f>'Financing '!E24</f>
        <v>-1000000</v>
      </c>
      <c r="E7">
        <f>'Financing '!F24</f>
        <v>-1000000</v>
      </c>
      <c r="F7">
        <f>'Financing '!G24</f>
        <v>0</v>
      </c>
      <c r="G7">
        <f>'Financing '!H24</f>
        <v>0</v>
      </c>
      <c r="H7">
        <f>'Financing '!I24</f>
        <v>0</v>
      </c>
      <c r="I7">
        <f>'Financing '!J24</f>
        <v>0</v>
      </c>
      <c r="J7">
        <f>'Financing '!K24</f>
        <v>0</v>
      </c>
      <c r="K7">
        <f>'Financing '!L24</f>
        <v>0</v>
      </c>
      <c r="L7">
        <f>'Financing '!M24</f>
        <v>0</v>
      </c>
    </row>
    <row r="8" spans="1:13" x14ac:dyDescent="0.3">
      <c r="A8" s="15" t="s">
        <v>101</v>
      </c>
      <c r="B8" s="15"/>
      <c r="C8" s="15">
        <f>SUM(C5:C7)</f>
        <v>7000000</v>
      </c>
      <c r="D8" s="15">
        <f t="shared" ref="D8:L8" si="1">SUM(D5:D7)</f>
        <v>55200000</v>
      </c>
      <c r="E8" s="15">
        <f t="shared" si="1"/>
        <v>156363999.99999994</v>
      </c>
      <c r="F8" s="15">
        <f t="shared" si="1"/>
        <v>263021759.99999976</v>
      </c>
      <c r="G8" s="15">
        <f t="shared" si="1"/>
        <v>343581581.99999964</v>
      </c>
      <c r="H8" s="15">
        <f t="shared" si="1"/>
        <v>397980079.67599952</v>
      </c>
      <c r="I8" s="15">
        <f t="shared" si="1"/>
        <v>425438901.79223943</v>
      </c>
      <c r="J8" s="15">
        <f t="shared" si="1"/>
        <v>451536346.17684472</v>
      </c>
      <c r="K8" s="15">
        <f t="shared" si="1"/>
        <v>450002637.31089282</v>
      </c>
      <c r="L8" s="15">
        <f t="shared" si="1"/>
        <v>446718811.43115568</v>
      </c>
    </row>
    <row r="9" spans="1:13" x14ac:dyDescent="0.3">
      <c r="A9" t="s">
        <v>102</v>
      </c>
      <c r="C9">
        <f>IF(-C8*'Model Assumptions'!$B$49&gt;0,0,-C8*'Model Assumptions'!$B$49)</f>
        <v>-1750000</v>
      </c>
      <c r="D9">
        <f>IF(-D8*'Model Assumptions'!$B$49&gt;0,0,-D8*'Model Assumptions'!$B$49)</f>
        <v>-13800000</v>
      </c>
      <c r="E9">
        <f>IF(-E8*'Model Assumptions'!$B$49&gt;0,0,-E8*'Model Assumptions'!$B$49)</f>
        <v>-39090999.999999985</v>
      </c>
      <c r="F9">
        <f>IF(-F8*'Model Assumptions'!$B$49&gt;0,0,-F8*'Model Assumptions'!$B$49)</f>
        <v>-65755439.99999994</v>
      </c>
      <c r="G9">
        <f>IF(-G8*'Model Assumptions'!$B$49&gt;0,0,-G8*'Model Assumptions'!$B$49)</f>
        <v>-85895395.499999911</v>
      </c>
      <c r="H9">
        <f>IF(-H8*'Model Assumptions'!$B$49&gt;0,0,-H8*'Model Assumptions'!$B$49)</f>
        <v>-99495019.918999881</v>
      </c>
      <c r="I9">
        <f>IF(-I8*'Model Assumptions'!$B$49&gt;0,0,-I8*'Model Assumptions'!$B$49)</f>
        <v>-106359725.44805986</v>
      </c>
      <c r="J9">
        <f>IF(-J8*'Model Assumptions'!$B$49&gt;0,0,-J8*'Model Assumptions'!$B$49)</f>
        <v>-112884086.54421118</v>
      </c>
      <c r="K9">
        <f>IF(-K8*'Model Assumptions'!$B$49&gt;0,0,-K8*'Model Assumptions'!$B$49)</f>
        <v>-112500659.32772321</v>
      </c>
      <c r="L9">
        <f>IF(-L8*'Model Assumptions'!$B$49&gt;0,0,-L8*'Model Assumptions'!$B$49)</f>
        <v>-111679702.85778892</v>
      </c>
    </row>
    <row r="10" spans="1:13" x14ac:dyDescent="0.3">
      <c r="A10" s="19" t="s">
        <v>103</v>
      </c>
      <c r="B10" s="19"/>
      <c r="C10" s="19">
        <f>SUM(C8:C9)</f>
        <v>5250000</v>
      </c>
      <c r="D10" s="19">
        <f t="shared" ref="D10:L10" si="2">SUM(D8:D9)</f>
        <v>41400000</v>
      </c>
      <c r="E10" s="19">
        <f t="shared" si="2"/>
        <v>117272999.99999996</v>
      </c>
      <c r="F10" s="19">
        <f t="shared" si="2"/>
        <v>197266319.99999982</v>
      </c>
      <c r="G10" s="19">
        <f t="shared" si="2"/>
        <v>257686186.49999973</v>
      </c>
      <c r="H10" s="19">
        <f t="shared" si="2"/>
        <v>298485059.75699961</v>
      </c>
      <c r="I10" s="19">
        <f t="shared" si="2"/>
        <v>319079176.34417957</v>
      </c>
      <c r="J10" s="19">
        <f t="shared" si="2"/>
        <v>338652259.63263357</v>
      </c>
      <c r="K10" s="19">
        <f t="shared" si="2"/>
        <v>337501977.98316962</v>
      </c>
      <c r="L10" s="19">
        <f t="shared" si="2"/>
        <v>335039108.57336676</v>
      </c>
      <c r="M10" s="15"/>
    </row>
    <row r="19" spans="5:5" x14ac:dyDescent="0.3">
      <c r="E19" s="2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9012C-0C8E-49CB-8F1A-2C9AB28AE836}">
  <dimension ref="A1:N13"/>
  <sheetViews>
    <sheetView zoomScale="86" workbookViewId="0">
      <selection activeCell="C13" sqref="C13"/>
    </sheetView>
  </sheetViews>
  <sheetFormatPr defaultRowHeight="14.4" x14ac:dyDescent="0.3"/>
  <cols>
    <col min="1" max="1" width="31.33203125" bestFit="1" customWidth="1"/>
    <col min="3" max="3" width="9.6640625" bestFit="1" customWidth="1"/>
    <col min="4" max="7" width="10" bestFit="1" customWidth="1"/>
    <col min="8" max="12" width="12.6640625" bestFit="1" customWidth="1"/>
    <col min="14" max="14" width="13.109375" bestFit="1" customWidth="1"/>
  </cols>
  <sheetData>
    <row r="1" spans="1:14" ht="18" x14ac:dyDescent="0.35">
      <c r="A1" s="32" t="s">
        <v>146</v>
      </c>
    </row>
    <row r="3" spans="1:14" x14ac:dyDescent="0.3">
      <c r="A3" t="s">
        <v>104</v>
      </c>
      <c r="B3">
        <v>0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N3" t="s">
        <v>135</v>
      </c>
    </row>
    <row r="4" spans="1:14" x14ac:dyDescent="0.3">
      <c r="A4" t="s">
        <v>105</v>
      </c>
      <c r="C4">
        <f>'Saving Forecast '!C34</f>
        <v>50000000</v>
      </c>
      <c r="D4">
        <f>'Saving Forecast '!D34</f>
        <v>101200000</v>
      </c>
      <c r="E4">
        <f>'Saving Forecast '!E34</f>
        <v>204463999.99999994</v>
      </c>
      <c r="F4">
        <f>'Saving Forecast '!F34</f>
        <v>309221759.99999976</v>
      </c>
      <c r="G4" s="11">
        <f>'Saving Forecast '!G34</f>
        <v>388881581.99999964</v>
      </c>
      <c r="H4" s="11">
        <f>'Saving Forecast '!H34</f>
        <v>442380079.67599952</v>
      </c>
      <c r="I4" s="11">
        <f>'Saving Forecast '!I34</f>
        <v>468938901.79223943</v>
      </c>
      <c r="J4" s="11">
        <f>'Saving Forecast '!J34</f>
        <v>494136346.17684472</v>
      </c>
      <c r="K4" s="11">
        <f>'Saving Forecast '!K34</f>
        <v>491702637.31089282</v>
      </c>
      <c r="L4" s="11">
        <f>'Saving Forecast '!L34</f>
        <v>487518811.43115568</v>
      </c>
    </row>
    <row r="5" spans="1:14" x14ac:dyDescent="0.3">
      <c r="A5" t="s">
        <v>102</v>
      </c>
      <c r="C5">
        <f>'Profit and loss Statement'!C9</f>
        <v>-1750000</v>
      </c>
      <c r="D5">
        <f>'Profit and loss Statement'!D9</f>
        <v>-13800000</v>
      </c>
      <c r="E5">
        <f>'Profit and loss Statement'!E9</f>
        <v>-39090999.999999985</v>
      </c>
      <c r="F5">
        <f>'Profit and loss Statement'!F9</f>
        <v>-65755439.99999994</v>
      </c>
      <c r="G5">
        <f>'Profit and loss Statement'!G9</f>
        <v>-85895395.499999911</v>
      </c>
      <c r="H5">
        <f>'Profit and loss Statement'!H9</f>
        <v>-99495019.918999881</v>
      </c>
      <c r="I5">
        <f>'Profit and loss Statement'!I9</f>
        <v>-106359725.44805986</v>
      </c>
      <c r="J5">
        <f>'Profit and loss Statement'!J9</f>
        <v>-112884086.54421118</v>
      </c>
      <c r="K5">
        <f>'Profit and loss Statement'!K9</f>
        <v>-112500659.32772321</v>
      </c>
      <c r="L5">
        <f>'Profit and loss Statement'!L9</f>
        <v>-111679702.85778892</v>
      </c>
    </row>
    <row r="6" spans="1:14" x14ac:dyDescent="0.3">
      <c r="A6" t="s">
        <v>106</v>
      </c>
      <c r="C6">
        <f>'Working capital'!D21</f>
        <v>-694444.4444444445</v>
      </c>
      <c r="D6">
        <f>'Working capital'!E21</f>
        <v>-711111.11111111101</v>
      </c>
      <c r="E6">
        <f>'Working capital'!F21</f>
        <v>-1434222.2222222215</v>
      </c>
      <c r="F6">
        <f>'Working capital'!G21</f>
        <v>-1454968.8888888862</v>
      </c>
      <c r="G6">
        <f>'Working capital'!H21</f>
        <v>-1106386.4166666651</v>
      </c>
      <c r="H6">
        <f>'Working capital'!I21</f>
        <v>-743034.68994444329</v>
      </c>
      <c r="I6">
        <f>'Working capital'!J21</f>
        <v>-368872.52939222008</v>
      </c>
      <c r="J6">
        <f>'Working capital'!K21</f>
        <v>-349964.50534174033</v>
      </c>
      <c r="K6">
        <f>'Working capital'!L21</f>
        <v>33801.512027109042</v>
      </c>
      <c r="L6">
        <f>'Working capital'!M21</f>
        <v>58108.692774127237</v>
      </c>
    </row>
    <row r="7" spans="1:14" x14ac:dyDescent="0.3">
      <c r="A7" t="s">
        <v>107</v>
      </c>
      <c r="C7">
        <f>-'Fixed Asset Roll-Forward'!D14</f>
        <v>-30000000</v>
      </c>
      <c r="D7">
        <f>-'Fixed Asset Roll-Forward'!E14</f>
        <v>-30000000</v>
      </c>
      <c r="E7">
        <f>-'Fixed Asset Roll-Forward'!F14</f>
        <v>-9000000</v>
      </c>
      <c r="F7">
        <f>-'Fixed Asset Roll-Forward'!G14</f>
        <v>-9000000</v>
      </c>
      <c r="G7">
        <f>-'Fixed Asset Roll-Forward'!H14</f>
        <v>-9000000</v>
      </c>
      <c r="H7">
        <f>-'Fixed Asset Roll-Forward'!I14</f>
        <v>-9000000</v>
      </c>
      <c r="I7">
        <f>-'Fixed Asset Roll-Forward'!J14</f>
        <v>-9000000</v>
      </c>
      <c r="J7">
        <f>-'Fixed Asset Roll-Forward'!K14</f>
        <v>-9000000</v>
      </c>
      <c r="K7">
        <f>-'Fixed Asset Roll-Forward'!L14</f>
        <v>-9000000</v>
      </c>
      <c r="L7">
        <f>-'Fixed Asset Roll-Forward'!M14</f>
        <v>-9000000</v>
      </c>
    </row>
    <row r="8" spans="1:14" x14ac:dyDescent="0.3">
      <c r="A8" s="15" t="s">
        <v>108</v>
      </c>
      <c r="B8" s="15"/>
      <c r="C8" s="15">
        <f>SUM(C4:C7)</f>
        <v>17555555.555555552</v>
      </c>
      <c r="D8" s="15">
        <f t="shared" ref="D8:L8" si="0">SUM(D4:D7)</f>
        <v>56688888.888888896</v>
      </c>
      <c r="E8" s="15">
        <f t="shared" si="0"/>
        <v>154938777.77777773</v>
      </c>
      <c r="F8" s="15">
        <f t="shared" si="0"/>
        <v>233011351.11111093</v>
      </c>
      <c r="G8" s="15">
        <f t="shared" si="0"/>
        <v>292879800.08333308</v>
      </c>
      <c r="H8" s="15">
        <f t="shared" si="0"/>
        <v>333142025.06705517</v>
      </c>
      <c r="I8" s="15">
        <f t="shared" si="0"/>
        <v>353210303.81478733</v>
      </c>
      <c r="J8" s="15">
        <f t="shared" si="0"/>
        <v>371902295.1272918</v>
      </c>
      <c r="K8" s="15">
        <f t="shared" si="0"/>
        <v>370235779.4951967</v>
      </c>
      <c r="L8" s="15">
        <f t="shared" si="0"/>
        <v>366897217.26614088</v>
      </c>
      <c r="M8" s="15"/>
    </row>
    <row r="9" spans="1:14" x14ac:dyDescent="0.3">
      <c r="A9" t="s">
        <v>109</v>
      </c>
      <c r="C9">
        <f>'Financing '!D13</f>
        <v>0</v>
      </c>
      <c r="D9">
        <f>'Financing '!E13</f>
        <v>-10000000</v>
      </c>
      <c r="E9">
        <f>'Financing '!F13</f>
        <v>-20000000</v>
      </c>
      <c r="F9">
        <f>'Financing '!G13</f>
        <v>-20000000</v>
      </c>
      <c r="G9">
        <f>'Financing '!H13</f>
        <v>-20000000</v>
      </c>
      <c r="H9">
        <f>'Financing '!I13</f>
        <v>-20000000</v>
      </c>
      <c r="I9">
        <f>'Financing '!J13</f>
        <v>-20000000</v>
      </c>
      <c r="J9">
        <f>'Financing '!K13</f>
        <v>-20000000</v>
      </c>
      <c r="K9">
        <f>'Financing '!L13</f>
        <v>-20000000</v>
      </c>
      <c r="L9">
        <f>'Financing '!M13</f>
        <v>-20000000</v>
      </c>
    </row>
    <row r="10" spans="1:14" x14ac:dyDescent="0.3">
      <c r="A10" t="s">
        <v>110</v>
      </c>
      <c r="C10">
        <f>'Financing '!D19</f>
        <v>-18000000</v>
      </c>
      <c r="D10">
        <f>'Financing '!E19</f>
        <v>-18000000</v>
      </c>
      <c r="E10">
        <f>'Financing '!F19</f>
        <v>-17100000</v>
      </c>
      <c r="F10">
        <f>'Financing '!G19</f>
        <v>-15300000</v>
      </c>
      <c r="G10">
        <f>'Financing '!H19</f>
        <v>-13500000</v>
      </c>
      <c r="H10">
        <f>'Financing '!I19</f>
        <v>-11700000</v>
      </c>
      <c r="I10">
        <f>'Financing '!J19</f>
        <v>-9900000</v>
      </c>
      <c r="J10">
        <f>'Financing '!K19</f>
        <v>-8100000</v>
      </c>
      <c r="K10">
        <f>'Financing '!L19</f>
        <v>-6300000</v>
      </c>
      <c r="L10">
        <f>'Financing '!M19</f>
        <v>-4500000</v>
      </c>
    </row>
    <row r="11" spans="1:14" x14ac:dyDescent="0.3">
      <c r="A11" t="s">
        <v>112</v>
      </c>
      <c r="C11">
        <f>'Financing '!D24</f>
        <v>-1000000</v>
      </c>
      <c r="D11">
        <f>'Financing '!E24</f>
        <v>-1000000</v>
      </c>
      <c r="E11">
        <f>'Financing '!F24</f>
        <v>-1000000</v>
      </c>
      <c r="F11">
        <f>'Financing '!G24</f>
        <v>0</v>
      </c>
      <c r="G11">
        <f>'Financing '!H24</f>
        <v>0</v>
      </c>
      <c r="H11">
        <f>'Financing '!I24</f>
        <v>0</v>
      </c>
      <c r="I11">
        <f>'Financing '!J24</f>
        <v>0</v>
      </c>
      <c r="J11">
        <f>'Financing '!K24</f>
        <v>0</v>
      </c>
      <c r="K11">
        <f>'Financing '!L24</f>
        <v>0</v>
      </c>
      <c r="L11">
        <f>'Financing '!M24</f>
        <v>0</v>
      </c>
    </row>
    <row r="12" spans="1:14" x14ac:dyDescent="0.3">
      <c r="A12" t="s">
        <v>113</v>
      </c>
    </row>
    <row r="13" spans="1:14" x14ac:dyDescent="0.3">
      <c r="A13" s="15" t="s">
        <v>111</v>
      </c>
      <c r="B13" s="15"/>
      <c r="C13" s="15">
        <f>SUM(C8:C11)</f>
        <v>-1444444.4444444478</v>
      </c>
      <c r="D13" s="15">
        <f t="shared" ref="D13:L13" si="1">SUM(D8:D11)</f>
        <v>27688888.888888896</v>
      </c>
      <c r="E13" s="15">
        <f t="shared" si="1"/>
        <v>116838777.77777773</v>
      </c>
      <c r="F13" s="15">
        <f t="shared" si="1"/>
        <v>197711351.11111093</v>
      </c>
      <c r="G13" s="15">
        <f t="shared" si="1"/>
        <v>259379800.08333308</v>
      </c>
      <c r="H13" s="15">
        <f t="shared" si="1"/>
        <v>301442025.06705517</v>
      </c>
      <c r="I13" s="15">
        <f t="shared" si="1"/>
        <v>323310303.81478733</v>
      </c>
      <c r="J13" s="15">
        <f t="shared" si="1"/>
        <v>343802295.1272918</v>
      </c>
      <c r="K13" s="15">
        <f t="shared" si="1"/>
        <v>343935779.4951967</v>
      </c>
      <c r="L13" s="15">
        <f t="shared" si="1"/>
        <v>342397217.26614088</v>
      </c>
      <c r="M13" s="15"/>
      <c r="N13" s="4">
        <f>'Model Assumptions'!B51-'Financing '!M15</f>
        <v>20000000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24DB7-E142-4DB7-B960-F6A34665E58A}">
  <dimension ref="A1:N38"/>
  <sheetViews>
    <sheetView topLeftCell="A3" zoomScale="63" workbookViewId="0">
      <selection activeCell="C38" sqref="C38"/>
    </sheetView>
  </sheetViews>
  <sheetFormatPr defaultRowHeight="14.4" x14ac:dyDescent="0.3"/>
  <cols>
    <col min="1" max="1" width="31.5546875" bestFit="1" customWidth="1"/>
    <col min="3" max="3" width="21.88671875" bestFit="1" customWidth="1"/>
    <col min="4" max="13" width="19.44140625" bestFit="1" customWidth="1"/>
  </cols>
  <sheetData>
    <row r="1" spans="1:13" ht="18" x14ac:dyDescent="0.35">
      <c r="A1" s="32" t="s">
        <v>114</v>
      </c>
    </row>
    <row r="3" spans="1:13" x14ac:dyDescent="0.3">
      <c r="A3" t="s">
        <v>115</v>
      </c>
      <c r="B3" s="3">
        <v>0.09</v>
      </c>
    </row>
    <row r="4" spans="1:13" x14ac:dyDescent="0.3">
      <c r="A4" t="s">
        <v>116</v>
      </c>
      <c r="B4" s="3">
        <v>0.04</v>
      </c>
    </row>
    <row r="5" spans="1:13" x14ac:dyDescent="0.3">
      <c r="A5" t="s">
        <v>28</v>
      </c>
      <c r="B5" s="3">
        <v>0.25</v>
      </c>
    </row>
    <row r="6" spans="1:13" x14ac:dyDescent="0.3">
      <c r="A6" t="s">
        <v>117</v>
      </c>
      <c r="B6" s="3">
        <v>0.06</v>
      </c>
    </row>
    <row r="8" spans="1:13" x14ac:dyDescent="0.3">
      <c r="A8" t="s">
        <v>118</v>
      </c>
      <c r="B8" t="s">
        <v>119</v>
      </c>
      <c r="C8" t="s">
        <v>120</v>
      </c>
    </row>
    <row r="9" spans="1:13" x14ac:dyDescent="0.3">
      <c r="A9" t="s">
        <v>169</v>
      </c>
      <c r="B9" s="3">
        <v>0.75</v>
      </c>
      <c r="C9">
        <v>1</v>
      </c>
    </row>
    <row r="10" spans="1:13" x14ac:dyDescent="0.3">
      <c r="A10" t="s">
        <v>170</v>
      </c>
      <c r="B10" s="3">
        <v>0.85</v>
      </c>
      <c r="C10">
        <v>1.1000000000000001</v>
      </c>
    </row>
    <row r="11" spans="1:13" x14ac:dyDescent="0.3">
      <c r="A11" t="s">
        <v>171</v>
      </c>
      <c r="B11" s="3">
        <v>0.7</v>
      </c>
      <c r="C11">
        <v>0.95</v>
      </c>
    </row>
    <row r="13" spans="1:13" x14ac:dyDescent="0.3">
      <c r="A13" t="s">
        <v>86</v>
      </c>
      <c r="C13">
        <v>0</v>
      </c>
      <c r="D13">
        <v>1</v>
      </c>
      <c r="E13">
        <v>2</v>
      </c>
      <c r="F13">
        <v>3</v>
      </c>
      <c r="G13">
        <v>4</v>
      </c>
      <c r="H13">
        <v>5</v>
      </c>
      <c r="I13">
        <v>6</v>
      </c>
      <c r="J13">
        <v>7</v>
      </c>
      <c r="K13">
        <v>8</v>
      </c>
      <c r="L13">
        <v>9</v>
      </c>
      <c r="M13">
        <v>10</v>
      </c>
    </row>
    <row r="14" spans="1:13" x14ac:dyDescent="0.3">
      <c r="A14" t="s">
        <v>121</v>
      </c>
      <c r="C14" s="11">
        <f>'Financing '!C15</f>
        <v>200000000</v>
      </c>
      <c r="D14" s="11">
        <f>'Financing '!D15</f>
        <v>200000000</v>
      </c>
      <c r="E14" s="11">
        <f>'Financing '!E15</f>
        <v>190000000</v>
      </c>
      <c r="F14" s="11">
        <f>'Financing '!F15</f>
        <v>170000000</v>
      </c>
      <c r="G14" s="11">
        <f>'Financing '!G15</f>
        <v>150000000</v>
      </c>
      <c r="H14" s="11">
        <f>'Financing '!H15</f>
        <v>130000000</v>
      </c>
      <c r="I14" s="11">
        <f>'Financing '!I15</f>
        <v>110000000</v>
      </c>
      <c r="J14" s="11">
        <f>'Financing '!J15</f>
        <v>90000000</v>
      </c>
      <c r="K14" s="11">
        <f>'Financing '!K15</f>
        <v>70000000</v>
      </c>
      <c r="L14" s="11">
        <f>'Financing '!L15</f>
        <v>50000000</v>
      </c>
      <c r="M14" s="11">
        <f>'Financing '!M15</f>
        <v>30000000</v>
      </c>
    </row>
    <row r="15" spans="1:13" x14ac:dyDescent="0.3">
      <c r="A15" t="s">
        <v>122</v>
      </c>
      <c r="C15" s="11">
        <f>'Financing '!D28</f>
        <v>197555555.55555555</v>
      </c>
      <c r="D15" s="11">
        <f>'Financing '!E28</f>
        <v>197555555.55555555</v>
      </c>
      <c r="E15" s="11">
        <f>'Financing '!F28</f>
        <v>197555555.55555555</v>
      </c>
      <c r="F15" s="11">
        <f>'Financing '!G28</f>
        <v>197555555.55555555</v>
      </c>
      <c r="G15" s="11">
        <f>'Financing '!H28</f>
        <v>197555555.55555555</v>
      </c>
      <c r="H15" s="11">
        <f>'Financing '!I28</f>
        <v>197555555.55555555</v>
      </c>
      <c r="I15" s="11">
        <f>'Financing '!J28</f>
        <v>197555555.55555555</v>
      </c>
      <c r="J15" s="11">
        <f>'Financing '!K28</f>
        <v>197555555.55555555</v>
      </c>
      <c r="K15" s="11">
        <f>'Financing '!L28</f>
        <v>197555555.55555555</v>
      </c>
      <c r="L15" s="11">
        <f>'Financing '!M28</f>
        <v>197555555.55555555</v>
      </c>
      <c r="M15" s="11">
        <v>197555555.55555555</v>
      </c>
    </row>
    <row r="16" spans="1:13" x14ac:dyDescent="0.3">
      <c r="A16" s="23" t="s">
        <v>123</v>
      </c>
      <c r="B16" s="15"/>
      <c r="C16" s="18">
        <f>SUM(C14:C15)</f>
        <v>397555555.55555558</v>
      </c>
      <c r="D16" s="18">
        <f t="shared" ref="D16:M16" si="0">SUM(D14:D15)</f>
        <v>397555555.55555558</v>
      </c>
      <c r="E16" s="18">
        <f t="shared" si="0"/>
        <v>387555555.55555558</v>
      </c>
      <c r="F16" s="18">
        <f t="shared" si="0"/>
        <v>367555555.55555558</v>
      </c>
      <c r="G16" s="18">
        <f t="shared" si="0"/>
        <v>347555555.55555558</v>
      </c>
      <c r="H16" s="18">
        <f t="shared" si="0"/>
        <v>327555555.55555558</v>
      </c>
      <c r="I16" s="18">
        <f t="shared" si="0"/>
        <v>307555555.55555558</v>
      </c>
      <c r="J16" s="18">
        <f t="shared" si="0"/>
        <v>287555555.55555558</v>
      </c>
      <c r="K16" s="18">
        <f t="shared" si="0"/>
        <v>267555555.55555555</v>
      </c>
      <c r="L16" s="18">
        <f t="shared" si="0"/>
        <v>247555555.55555555</v>
      </c>
      <c r="M16" s="18">
        <f t="shared" si="0"/>
        <v>227555555.55555555</v>
      </c>
    </row>
    <row r="19" spans="1:14" x14ac:dyDescent="0.3">
      <c r="A19" t="s">
        <v>124</v>
      </c>
      <c r="C19" s="22">
        <f>C14/C16</f>
        <v>0.50307434320849631</v>
      </c>
      <c r="D19" s="22">
        <f t="shared" ref="D19:M19" si="1">D14/D16</f>
        <v>0.50307434320849631</v>
      </c>
      <c r="E19" s="22">
        <f t="shared" si="1"/>
        <v>0.49025229357798161</v>
      </c>
      <c r="F19" s="22">
        <f t="shared" si="1"/>
        <v>0.46251511487303504</v>
      </c>
      <c r="G19" s="22">
        <f t="shared" si="1"/>
        <v>0.43158567774936057</v>
      </c>
      <c r="H19" s="22">
        <f t="shared" si="1"/>
        <v>0.39687924016282222</v>
      </c>
      <c r="I19" s="22">
        <f t="shared" si="1"/>
        <v>0.35765895953757221</v>
      </c>
      <c r="J19" s="22">
        <f t="shared" si="1"/>
        <v>0.31298299845440491</v>
      </c>
      <c r="K19" s="22">
        <f t="shared" si="1"/>
        <v>0.26162790697674421</v>
      </c>
      <c r="L19" s="22">
        <f t="shared" si="1"/>
        <v>0.20197486535008977</v>
      </c>
      <c r="M19" s="22">
        <f t="shared" si="1"/>
        <v>0.1318359375</v>
      </c>
    </row>
    <row r="20" spans="1:14" x14ac:dyDescent="0.3">
      <c r="A20" t="s">
        <v>125</v>
      </c>
      <c r="C20" s="22">
        <f>C15/C16</f>
        <v>0.49692565679150358</v>
      </c>
      <c r="D20" s="22">
        <f t="shared" ref="D20:M20" si="2">D15/D16</f>
        <v>0.49692565679150358</v>
      </c>
      <c r="E20" s="22">
        <f t="shared" si="2"/>
        <v>0.50974770642201828</v>
      </c>
      <c r="F20" s="22">
        <f t="shared" si="2"/>
        <v>0.53748488512696491</v>
      </c>
      <c r="G20" s="22">
        <f t="shared" si="2"/>
        <v>0.56841432225063937</v>
      </c>
      <c r="H20" s="22">
        <f t="shared" si="2"/>
        <v>0.60312075983717772</v>
      </c>
      <c r="I20" s="22">
        <f t="shared" si="2"/>
        <v>0.64234104046242768</v>
      </c>
      <c r="J20" s="22">
        <f t="shared" si="2"/>
        <v>0.68701700154559497</v>
      </c>
      <c r="K20" s="22">
        <f t="shared" si="2"/>
        <v>0.73837209302325579</v>
      </c>
      <c r="L20" s="22">
        <f t="shared" si="2"/>
        <v>0.79802513464991021</v>
      </c>
      <c r="M20" s="22">
        <f t="shared" si="2"/>
        <v>0.8681640625</v>
      </c>
    </row>
    <row r="21" spans="1:14" x14ac:dyDescent="0.3">
      <c r="A21" s="23" t="s">
        <v>126</v>
      </c>
      <c r="C21" s="22">
        <f>SUM(C19:C20)</f>
        <v>0.99999999999999989</v>
      </c>
      <c r="D21" s="22">
        <f t="shared" ref="D21:M21" si="3">SUM(D19:D20)</f>
        <v>0.99999999999999989</v>
      </c>
      <c r="E21" s="22">
        <f t="shared" si="3"/>
        <v>0.99999999999999989</v>
      </c>
      <c r="F21" s="22">
        <f t="shared" si="3"/>
        <v>1</v>
      </c>
      <c r="G21" s="22">
        <f t="shared" si="3"/>
        <v>1</v>
      </c>
      <c r="H21" s="22">
        <f t="shared" si="3"/>
        <v>1</v>
      </c>
      <c r="I21" s="22">
        <f t="shared" si="3"/>
        <v>0.99999999999999989</v>
      </c>
      <c r="J21" s="22">
        <f t="shared" si="3"/>
        <v>0.99999999999999989</v>
      </c>
      <c r="K21" s="22">
        <f t="shared" si="3"/>
        <v>1</v>
      </c>
      <c r="L21" s="22">
        <f t="shared" si="3"/>
        <v>1</v>
      </c>
      <c r="M21" s="22">
        <f t="shared" si="3"/>
        <v>1</v>
      </c>
    </row>
    <row r="24" spans="1:14" x14ac:dyDescent="0.3">
      <c r="A24" s="21" t="s">
        <v>127</v>
      </c>
    </row>
    <row r="25" spans="1:14" x14ac:dyDescent="0.3">
      <c r="A25" s="21" t="s">
        <v>128</v>
      </c>
      <c r="B25" s="3">
        <f>AVERAGE(B9:B11)</f>
        <v>0.76666666666666661</v>
      </c>
    </row>
    <row r="26" spans="1:14" x14ac:dyDescent="0.3">
      <c r="A26" s="21" t="s">
        <v>129</v>
      </c>
      <c r="B26" s="10">
        <f>AVERAGE(C9:C11)</f>
        <v>1.0166666666666666</v>
      </c>
    </row>
    <row r="29" spans="1:14" x14ac:dyDescent="0.3">
      <c r="A29" s="21" t="s">
        <v>130</v>
      </c>
    </row>
    <row r="30" spans="1:14" x14ac:dyDescent="0.3">
      <c r="A30" s="21" t="s">
        <v>131</v>
      </c>
      <c r="C30" s="10">
        <f t="shared" ref="C30:M30" si="4">C19/C20</f>
        <v>1.0123734533183353</v>
      </c>
      <c r="D30" s="10">
        <f t="shared" si="4"/>
        <v>1.0123734533183353</v>
      </c>
      <c r="E30" s="10">
        <f t="shared" si="4"/>
        <v>0.96175478065241848</v>
      </c>
      <c r="F30" s="10">
        <f t="shared" si="4"/>
        <v>0.86051743532058489</v>
      </c>
      <c r="G30" s="10">
        <f t="shared" si="4"/>
        <v>0.75928008998875141</v>
      </c>
      <c r="H30" s="10">
        <f t="shared" si="4"/>
        <v>0.65804274465691781</v>
      </c>
      <c r="I30" s="10">
        <f t="shared" si="4"/>
        <v>0.55680539932508433</v>
      </c>
      <c r="J30" s="10">
        <f t="shared" si="4"/>
        <v>0.45556805399325084</v>
      </c>
      <c r="K30" s="10">
        <f t="shared" si="4"/>
        <v>0.35433070866141736</v>
      </c>
      <c r="L30" s="10">
        <f t="shared" si="4"/>
        <v>0.25309336332958382</v>
      </c>
      <c r="M30" s="10">
        <f t="shared" si="4"/>
        <v>0.15185601799775028</v>
      </c>
    </row>
    <row r="31" spans="1:14" x14ac:dyDescent="0.3">
      <c r="A31" s="21" t="s">
        <v>132</v>
      </c>
      <c r="C31" s="10">
        <f>$B$26/((1+(1-$B$5)*($B$25)))</f>
        <v>0.64550264550264547</v>
      </c>
      <c r="D31" s="10">
        <f t="shared" ref="D31:M31" si="5">$B$26/((1+(1-$B$5)*($B$25)))</f>
        <v>0.64550264550264547</v>
      </c>
      <c r="E31" s="10">
        <f t="shared" si="5"/>
        <v>0.64550264550264547</v>
      </c>
      <c r="F31" s="10">
        <f t="shared" si="5"/>
        <v>0.64550264550264547</v>
      </c>
      <c r="G31" s="10">
        <f t="shared" si="5"/>
        <v>0.64550264550264547</v>
      </c>
      <c r="H31" s="10">
        <f t="shared" si="5"/>
        <v>0.64550264550264547</v>
      </c>
      <c r="I31" s="10">
        <f t="shared" si="5"/>
        <v>0.64550264550264547</v>
      </c>
      <c r="J31" s="10">
        <f t="shared" si="5"/>
        <v>0.64550264550264547</v>
      </c>
      <c r="K31" s="10">
        <f t="shared" si="5"/>
        <v>0.64550264550264547</v>
      </c>
      <c r="L31" s="10">
        <f t="shared" si="5"/>
        <v>0.64550264550264547</v>
      </c>
      <c r="M31" s="10">
        <f t="shared" si="5"/>
        <v>0.64550264550264547</v>
      </c>
    </row>
    <row r="32" spans="1:14" x14ac:dyDescent="0.3">
      <c r="A32" s="24" t="s">
        <v>130</v>
      </c>
      <c r="C32" s="10">
        <f>$C$31/((1+(1-$B$5)*(C30)))</f>
        <v>0.36691294875438096</v>
      </c>
      <c r="D32" s="10">
        <f t="shared" ref="D32:M32" si="6">$C$31/((1+(1-$B$5)*(D30)))</f>
        <v>0.36691294875438096</v>
      </c>
      <c r="E32" s="10">
        <f t="shared" si="6"/>
        <v>0.37500529446289937</v>
      </c>
      <c r="F32" s="10">
        <f t="shared" si="6"/>
        <v>0.39231027301442611</v>
      </c>
      <c r="G32" s="10">
        <f t="shared" si="6"/>
        <v>0.41128962684239517</v>
      </c>
      <c r="H32" s="10">
        <f t="shared" si="6"/>
        <v>0.43219872103321549</v>
      </c>
      <c r="I32" s="10">
        <f t="shared" si="6"/>
        <v>0.45534763090803554</v>
      </c>
      <c r="J32" s="10">
        <f t="shared" si="6"/>
        <v>0.48111662280599604</v>
      </c>
      <c r="K32" s="10">
        <f t="shared" si="6"/>
        <v>0.50997720671126578</v>
      </c>
      <c r="L32" s="10">
        <f t="shared" si="6"/>
        <v>0.54252124968267723</v>
      </c>
      <c r="M32" s="10">
        <f t="shared" si="6"/>
        <v>0.57950199631593213</v>
      </c>
      <c r="N32" s="10"/>
    </row>
    <row r="33" spans="1:13" x14ac:dyDescent="0.3">
      <c r="A33" s="21"/>
    </row>
    <row r="34" spans="1:13" x14ac:dyDescent="0.3">
      <c r="A34" s="21" t="s">
        <v>133</v>
      </c>
      <c r="C34" s="22">
        <f>$B$4+$B$6*C32</f>
        <v>6.201477692526286E-2</v>
      </c>
      <c r="D34" s="22">
        <f t="shared" ref="D34:M34" si="7">$B$4+$B$6*D32</f>
        <v>6.201477692526286E-2</v>
      </c>
      <c r="E34" s="22">
        <f t="shared" si="7"/>
        <v>6.2500317667773961E-2</v>
      </c>
      <c r="F34" s="22">
        <f t="shared" si="7"/>
        <v>6.3538616380865567E-2</v>
      </c>
      <c r="G34" s="22">
        <f t="shared" si="7"/>
        <v>6.4677377610543707E-2</v>
      </c>
      <c r="H34" s="22">
        <f t="shared" si="7"/>
        <v>6.5931923261992931E-2</v>
      </c>
      <c r="I34" s="22">
        <f t="shared" si="7"/>
        <v>6.7320857854482136E-2</v>
      </c>
      <c r="J34" s="22">
        <f t="shared" si="7"/>
        <v>6.8866997368359759E-2</v>
      </c>
      <c r="K34" s="22">
        <f t="shared" si="7"/>
        <v>7.0598632402675943E-2</v>
      </c>
      <c r="L34" s="22">
        <f t="shared" si="7"/>
        <v>7.2551274980960631E-2</v>
      </c>
      <c r="M34" s="22">
        <f t="shared" si="7"/>
        <v>7.4770119778955924E-2</v>
      </c>
    </row>
    <row r="38" spans="1:13" x14ac:dyDescent="0.3">
      <c r="A38" t="s">
        <v>134</v>
      </c>
      <c r="C38" s="25">
        <f>C19*(1-$B$5)*$B$3+C20*C34</f>
        <v>6.4774251920938331E-2</v>
      </c>
      <c r="D38" s="25">
        <f t="shared" ref="D38:M38" si="8">D19*(1-$B$5)*$B$3+D20*D34</f>
        <v>6.4774251920938331E-2</v>
      </c>
      <c r="E38" s="25">
        <f t="shared" si="8"/>
        <v>6.4951423398309074E-2</v>
      </c>
      <c r="F38" s="25">
        <f t="shared" si="8"/>
        <v>6.5370816180525676E-2</v>
      </c>
      <c r="G38" s="25">
        <f t="shared" si="8"/>
        <v>6.5895581007527723E-2</v>
      </c>
      <c r="H38" s="25">
        <f t="shared" si="8"/>
        <v>6.6554260366290169E-2</v>
      </c>
      <c r="I38" s="25">
        <f t="shared" si="8"/>
        <v>6.7384929647857361E-2</v>
      </c>
      <c r="J38" s="25">
        <f t="shared" si="8"/>
        <v>6.8439150433131229E-2</v>
      </c>
      <c r="K38" s="25">
        <f t="shared" si="8"/>
        <v>6.9787943692673521E-2</v>
      </c>
      <c r="L38" s="25">
        <f t="shared" si="8"/>
        <v>7.1531044396834831E-2</v>
      </c>
      <c r="M38" s="25">
        <f t="shared" si="8"/>
        <v>7.3811656722159974E-2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EC609-CCCB-45A6-862A-CB2CAD745778}">
  <dimension ref="A1:M30"/>
  <sheetViews>
    <sheetView topLeftCell="A3" zoomScale="75" workbookViewId="0">
      <selection activeCell="I24" sqref="I24"/>
    </sheetView>
  </sheetViews>
  <sheetFormatPr defaultRowHeight="14.4" x14ac:dyDescent="0.3"/>
  <cols>
    <col min="1" max="1" width="35.88671875" bestFit="1" customWidth="1"/>
    <col min="2" max="2" width="10.33203125" bestFit="1" customWidth="1"/>
    <col min="3" max="3" width="11" bestFit="1" customWidth="1"/>
    <col min="5" max="14" width="12" bestFit="1" customWidth="1"/>
  </cols>
  <sheetData>
    <row r="1" spans="1:13" ht="18" x14ac:dyDescent="0.35">
      <c r="A1" s="32" t="s">
        <v>150</v>
      </c>
    </row>
    <row r="4" spans="1:13" x14ac:dyDescent="0.3">
      <c r="A4" t="s">
        <v>136</v>
      </c>
      <c r="B4">
        <f>'Model Assumptions'!B3</f>
        <v>2</v>
      </c>
    </row>
    <row r="6" spans="1:13" x14ac:dyDescent="0.3">
      <c r="A6" t="s">
        <v>137</v>
      </c>
      <c r="B6" s="4">
        <f>'Free Cash Flow Projection'!N13</f>
        <v>20000000</v>
      </c>
    </row>
    <row r="8" spans="1:13" x14ac:dyDescent="0.3">
      <c r="A8" t="s">
        <v>104</v>
      </c>
      <c r="C8">
        <v>0</v>
      </c>
      <c r="D8">
        <v>1</v>
      </c>
      <c r="E8">
        <v>2</v>
      </c>
      <c r="F8">
        <v>3</v>
      </c>
      <c r="G8">
        <v>4</v>
      </c>
      <c r="H8">
        <v>5</v>
      </c>
      <c r="I8">
        <v>6</v>
      </c>
      <c r="J8">
        <v>7</v>
      </c>
      <c r="K8">
        <v>8</v>
      </c>
      <c r="L8">
        <v>9</v>
      </c>
      <c r="M8">
        <v>10</v>
      </c>
    </row>
    <row r="10" spans="1:13" x14ac:dyDescent="0.3">
      <c r="A10" t="s">
        <v>138</v>
      </c>
      <c r="C10" s="11">
        <f>-'Financing '!D28</f>
        <v>-197555555.55555555</v>
      </c>
      <c r="D10">
        <f>'Free Cash Flow Projection'!C13</f>
        <v>-1444444.4444444478</v>
      </c>
      <c r="E10">
        <f>'Free Cash Flow Projection'!D13</f>
        <v>27688888.888888896</v>
      </c>
      <c r="F10">
        <f>'Free Cash Flow Projection'!E13</f>
        <v>116838777.77777773</v>
      </c>
      <c r="G10">
        <f>'Free Cash Flow Projection'!F13</f>
        <v>197711351.11111093</v>
      </c>
      <c r="H10">
        <f>'Free Cash Flow Projection'!G13</f>
        <v>259379800.08333308</v>
      </c>
      <c r="I10">
        <f>'Free Cash Flow Projection'!H13</f>
        <v>301442025.06705517</v>
      </c>
      <c r="J10">
        <f>'Free Cash Flow Projection'!I13</f>
        <v>323310303.81478733</v>
      </c>
      <c r="K10">
        <f>'Free Cash Flow Projection'!J13</f>
        <v>343802295.1272918</v>
      </c>
      <c r="L10">
        <f>'Free Cash Flow Projection'!K13</f>
        <v>343935779.4951967</v>
      </c>
      <c r="M10">
        <f>'Free Cash Flow Projection'!L13</f>
        <v>342397217.26614088</v>
      </c>
    </row>
    <row r="11" spans="1:13" x14ac:dyDescent="0.3">
      <c r="A11" s="28" t="s">
        <v>142</v>
      </c>
      <c r="C11" s="11">
        <f>C10</f>
        <v>-197555555.55555555</v>
      </c>
      <c r="D11" s="11">
        <f>D10</f>
        <v>-1444444.4444444478</v>
      </c>
      <c r="E11" s="11">
        <f t="shared" ref="E11:L11" si="0">E10</f>
        <v>27688888.888888896</v>
      </c>
      <c r="F11" s="11">
        <f t="shared" si="0"/>
        <v>116838777.77777773</v>
      </c>
      <c r="G11" s="11">
        <f t="shared" si="0"/>
        <v>197711351.11111093</v>
      </c>
      <c r="H11" s="11">
        <f t="shared" si="0"/>
        <v>259379800.08333308</v>
      </c>
      <c r="I11" s="11">
        <f t="shared" si="0"/>
        <v>301442025.06705517</v>
      </c>
      <c r="J11" s="11">
        <f t="shared" si="0"/>
        <v>323310303.81478733</v>
      </c>
      <c r="K11" s="11">
        <f t="shared" si="0"/>
        <v>343802295.1272918</v>
      </c>
      <c r="L11" s="11">
        <f t="shared" si="0"/>
        <v>343935779.4951967</v>
      </c>
      <c r="M11" s="4">
        <f>M10+B6</f>
        <v>362397217.26614088</v>
      </c>
    </row>
    <row r="12" spans="1:13" x14ac:dyDescent="0.3">
      <c r="A12" t="s">
        <v>133</v>
      </c>
      <c r="D12" s="22">
        <f>WACC!C34</f>
        <v>6.201477692526286E-2</v>
      </c>
      <c r="E12" s="22">
        <f>WACC!D34</f>
        <v>6.201477692526286E-2</v>
      </c>
      <c r="F12" s="22">
        <f>WACC!E34</f>
        <v>6.2500317667773961E-2</v>
      </c>
      <c r="G12" s="22">
        <f>WACC!F34</f>
        <v>6.3538616380865567E-2</v>
      </c>
      <c r="H12" s="22">
        <f>WACC!G34</f>
        <v>6.4677377610543707E-2</v>
      </c>
      <c r="I12" s="22">
        <f>WACC!H34</f>
        <v>6.5931923261992931E-2</v>
      </c>
      <c r="J12" s="22">
        <f>WACC!I34</f>
        <v>6.7320857854482136E-2</v>
      </c>
      <c r="K12" s="22">
        <f>WACC!J34</f>
        <v>6.8866997368359759E-2</v>
      </c>
      <c r="L12" s="22">
        <f>WACC!K34</f>
        <v>7.0598632402675943E-2</v>
      </c>
      <c r="M12" s="22">
        <f>WACC!L34</f>
        <v>7.2551274980960631E-2</v>
      </c>
    </row>
    <row r="13" spans="1:13" x14ac:dyDescent="0.3">
      <c r="A13" s="24" t="s">
        <v>139</v>
      </c>
      <c r="C13" s="11">
        <f>C10/(1+C12)^C8</f>
        <v>-197555555.55555555</v>
      </c>
      <c r="D13" s="11">
        <f t="shared" ref="D13:M13" si="1">D10/(1+D12)^D8</f>
        <v>-1360098.2545896324</v>
      </c>
      <c r="E13" s="11">
        <f t="shared" si="1"/>
        <v>24549599.381790299</v>
      </c>
      <c r="F13" s="11">
        <f t="shared" si="1"/>
        <v>97409160.294307739</v>
      </c>
      <c r="G13" s="11">
        <f t="shared" si="1"/>
        <v>154532044.36930269</v>
      </c>
      <c r="H13" s="11">
        <f t="shared" si="1"/>
        <v>189603355.9690834</v>
      </c>
      <c r="I13" s="11">
        <f t="shared" si="1"/>
        <v>205507172.96155193</v>
      </c>
      <c r="J13" s="11">
        <f t="shared" si="1"/>
        <v>204905949.98467201</v>
      </c>
      <c r="K13" s="11">
        <f t="shared" si="1"/>
        <v>201799194.57273576</v>
      </c>
      <c r="L13" s="11">
        <f t="shared" si="1"/>
        <v>186138924.03851297</v>
      </c>
      <c r="M13" s="11">
        <f t="shared" si="1"/>
        <v>169961122.87365115</v>
      </c>
    </row>
    <row r="14" spans="1:13" x14ac:dyDescent="0.3">
      <c r="A14" s="26" t="s">
        <v>140</v>
      </c>
      <c r="M14">
        <f>B6/(1+M12)^M8</f>
        <v>9927716.3658454977</v>
      </c>
    </row>
    <row r="16" spans="1:13" x14ac:dyDescent="0.3">
      <c r="A16" s="27" t="s">
        <v>141</v>
      </c>
      <c r="B16" s="15"/>
      <c r="C16" s="18">
        <f>C13+C14</f>
        <v>-197555555.55555555</v>
      </c>
      <c r="D16" s="18">
        <f t="shared" ref="D16:L16" si="2">D13+D14</f>
        <v>-1360098.2545896324</v>
      </c>
      <c r="E16" s="18">
        <f t="shared" si="2"/>
        <v>24549599.381790299</v>
      </c>
      <c r="F16" s="18">
        <f t="shared" si="2"/>
        <v>97409160.294307739</v>
      </c>
      <c r="G16" s="18">
        <f t="shared" si="2"/>
        <v>154532044.36930269</v>
      </c>
      <c r="H16" s="18">
        <f t="shared" si="2"/>
        <v>189603355.9690834</v>
      </c>
      <c r="I16" s="18">
        <f t="shared" si="2"/>
        <v>205507172.96155193</v>
      </c>
      <c r="J16" s="18">
        <f t="shared" si="2"/>
        <v>204905949.98467201</v>
      </c>
      <c r="K16" s="18">
        <f t="shared" si="2"/>
        <v>201799194.57273576</v>
      </c>
      <c r="L16" s="18">
        <f t="shared" si="2"/>
        <v>186138924.03851297</v>
      </c>
      <c r="M16" s="18">
        <f>M13+M14</f>
        <v>179888839.23949665</v>
      </c>
    </row>
    <row r="19" spans="1:9" x14ac:dyDescent="0.3">
      <c r="A19" s="29" t="s">
        <v>143</v>
      </c>
      <c r="C19" s="11">
        <f>SUM(C16:M16)</f>
        <v>1245418587.0013082</v>
      </c>
    </row>
    <row r="21" spans="1:9" x14ac:dyDescent="0.3">
      <c r="A21" s="29" t="s">
        <v>144</v>
      </c>
      <c r="C21" s="3">
        <f>IRR(C11:M11)</f>
        <v>0.49354926624110296</v>
      </c>
    </row>
    <row r="22" spans="1:9" x14ac:dyDescent="0.3">
      <c r="H22" s="30" t="s">
        <v>145</v>
      </c>
      <c r="I22" s="30"/>
    </row>
    <row r="23" spans="1:9" x14ac:dyDescent="0.3">
      <c r="I23" s="3">
        <f>C21</f>
        <v>0.49354926624110296</v>
      </c>
    </row>
    <row r="24" spans="1:9" x14ac:dyDescent="0.3">
      <c r="H24" s="4">
        <f>C26</f>
        <v>20000000</v>
      </c>
      <c r="I24" s="22">
        <f t="dataTable" ref="I24:I29" dt2D="0" dtr="0" r1="B6" ca="1"/>
        <v>0.49354926624110296</v>
      </c>
    </row>
    <row r="25" spans="1:9" x14ac:dyDescent="0.3">
      <c r="D25" s="3">
        <f>C21</f>
        <v>0.49354926624110296</v>
      </c>
      <c r="H25">
        <v>15000000</v>
      </c>
      <c r="I25" s="22">
        <v>0.49341694174546147</v>
      </c>
    </row>
    <row r="26" spans="1:9" x14ac:dyDescent="0.3">
      <c r="C26" s="4">
        <f>B6</f>
        <v>20000000</v>
      </c>
      <c r="D26" s="25">
        <f t="dataTable" ref="D26:D30" dt2D="0" dtr="0" r1="B6" ca="1"/>
        <v>0.49354926624110296</v>
      </c>
      <c r="H26">
        <v>17500000</v>
      </c>
      <c r="I26" s="22">
        <v>0.4934831230906227</v>
      </c>
    </row>
    <row r="27" spans="1:9" x14ac:dyDescent="0.3">
      <c r="C27">
        <v>30000000</v>
      </c>
      <c r="D27" s="25">
        <v>0.49381345790263098</v>
      </c>
      <c r="H27">
        <v>20000000</v>
      </c>
      <c r="I27" s="22">
        <v>0.49354926624110296</v>
      </c>
    </row>
    <row r="28" spans="1:9" x14ac:dyDescent="0.3">
      <c r="C28">
        <v>35000000</v>
      </c>
      <c r="D28" s="25">
        <v>0.49394532587071671</v>
      </c>
      <c r="H28">
        <v>22500000</v>
      </c>
      <c r="I28" s="22">
        <v>0.49361537124730193</v>
      </c>
    </row>
    <row r="29" spans="1:9" x14ac:dyDescent="0.3">
      <c r="C29">
        <v>40000000</v>
      </c>
      <c r="D29" s="25">
        <v>0.49407704246236928</v>
      </c>
      <c r="H29">
        <v>25000000</v>
      </c>
      <c r="I29" s="22">
        <v>0.49368143815951382</v>
      </c>
    </row>
    <row r="30" spans="1:9" x14ac:dyDescent="0.3">
      <c r="C30">
        <v>50000000</v>
      </c>
      <c r="D30" s="25">
        <v>0.49434002310249792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5880A-BCC8-4A15-90DF-0E855E7A5E97}">
  <dimension ref="A1:H22"/>
  <sheetViews>
    <sheetView tabSelected="1" workbookViewId="0">
      <selection activeCell="D9" sqref="D9"/>
    </sheetView>
  </sheetViews>
  <sheetFormatPr defaultRowHeight="14.4" x14ac:dyDescent="0.3"/>
  <cols>
    <col min="1" max="1" width="47.21875" bestFit="1" customWidth="1"/>
    <col min="2" max="2" width="15.6640625" bestFit="1" customWidth="1"/>
    <col min="5" max="5" width="10" bestFit="1" customWidth="1"/>
    <col min="7" max="7" width="15.6640625" bestFit="1" customWidth="1"/>
    <col min="8" max="8" width="11" bestFit="1" customWidth="1"/>
  </cols>
  <sheetData>
    <row r="1" spans="1:8" ht="18" x14ac:dyDescent="0.35">
      <c r="A1" s="32" t="s">
        <v>151</v>
      </c>
    </row>
    <row r="2" spans="1:8" x14ac:dyDescent="0.3">
      <c r="B2" s="7" t="s">
        <v>168</v>
      </c>
    </row>
    <row r="3" spans="1:8" x14ac:dyDescent="0.3">
      <c r="A3" s="37" t="s">
        <v>152</v>
      </c>
      <c r="B3" s="37">
        <f>'Financing '!B3</f>
        <v>240000000</v>
      </c>
      <c r="G3" t="s">
        <v>152</v>
      </c>
      <c r="H3">
        <v>240000000</v>
      </c>
    </row>
    <row r="4" spans="1:8" x14ac:dyDescent="0.3">
      <c r="A4" s="37" t="s">
        <v>153</v>
      </c>
      <c r="B4" s="38">
        <f>'Financing '!B6</f>
        <v>200000000</v>
      </c>
      <c r="G4" t="s">
        <v>157</v>
      </c>
      <c r="H4">
        <v>1237405804.3684137</v>
      </c>
    </row>
    <row r="5" spans="1:8" x14ac:dyDescent="0.3">
      <c r="A5" s="37" t="s">
        <v>154</v>
      </c>
      <c r="B5" s="37">
        <f>'Fixed Asset Roll-Forward'!B8</f>
        <v>10</v>
      </c>
    </row>
    <row r="6" spans="1:8" x14ac:dyDescent="0.3">
      <c r="A6" s="37" t="s">
        <v>155</v>
      </c>
      <c r="B6" s="39">
        <f>DCF!B6</f>
        <v>20000000</v>
      </c>
    </row>
    <row r="7" spans="1:8" x14ac:dyDescent="0.3">
      <c r="A7" s="37" t="s">
        <v>156</v>
      </c>
      <c r="B7" s="40">
        <f>WACC!C34</f>
        <v>6.201477692526286E-2</v>
      </c>
    </row>
    <row r="8" spans="1:8" x14ac:dyDescent="0.3">
      <c r="A8" s="37" t="s">
        <v>165</v>
      </c>
      <c r="B8" s="41" t="s">
        <v>166</v>
      </c>
    </row>
    <row r="10" spans="1:8" ht="15.6" x14ac:dyDescent="0.3">
      <c r="A10" s="35" t="s">
        <v>158</v>
      </c>
      <c r="B10" s="34"/>
    </row>
    <row r="12" spans="1:8" x14ac:dyDescent="0.3">
      <c r="A12" s="37" t="s">
        <v>157</v>
      </c>
      <c r="B12" s="38">
        <f>DCF!C19</f>
        <v>1245418587.0013082</v>
      </c>
    </row>
    <row r="13" spans="1:8" x14ac:dyDescent="0.3">
      <c r="A13" s="37" t="s">
        <v>144</v>
      </c>
      <c r="B13" s="42">
        <f>DCF!C21</f>
        <v>0.49354926624110296</v>
      </c>
    </row>
    <row r="15" spans="1:8" ht="15.6" x14ac:dyDescent="0.3">
      <c r="A15" s="33" t="s">
        <v>164</v>
      </c>
    </row>
    <row r="17" spans="1:1" x14ac:dyDescent="0.3">
      <c r="A17" s="7" t="s">
        <v>159</v>
      </c>
    </row>
    <row r="19" spans="1:1" x14ac:dyDescent="0.3">
      <c r="A19" t="s">
        <v>160</v>
      </c>
    </row>
    <row r="20" spans="1:1" x14ac:dyDescent="0.3">
      <c r="A20" t="s">
        <v>161</v>
      </c>
    </row>
    <row r="21" spans="1:1" x14ac:dyDescent="0.3">
      <c r="A21" t="s">
        <v>162</v>
      </c>
    </row>
    <row r="22" spans="1:1" x14ac:dyDescent="0.3">
      <c r="A22" t="s">
        <v>163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Model Assumptions</vt:lpstr>
      <vt:lpstr>Saving Forecast </vt:lpstr>
      <vt:lpstr>Fixed Asset Roll-Forward</vt:lpstr>
      <vt:lpstr>Working capital</vt:lpstr>
      <vt:lpstr>Financing </vt:lpstr>
      <vt:lpstr>Profit and loss Statement</vt:lpstr>
      <vt:lpstr>Free Cash Flow Projection</vt:lpstr>
      <vt:lpstr>WACC</vt:lpstr>
      <vt:lpstr>DCF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 sre</dc:creator>
  <cp:lastModifiedBy>Daya sre</cp:lastModifiedBy>
  <dcterms:created xsi:type="dcterms:W3CDTF">2026-04-28T08:30:30Z</dcterms:created>
  <dcterms:modified xsi:type="dcterms:W3CDTF">2026-07-03T13:01:59Z</dcterms:modified>
</cp:coreProperties>
</file>